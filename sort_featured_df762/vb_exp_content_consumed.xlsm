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08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banksv03/Documents/Projects/exp-tracking-from-homepage-modules/sort_featured_df762/"/>
    </mc:Choice>
  </mc:AlternateContent>
  <xr:revisionPtr revIDLastSave="0" documentId="13_ncr:1_{53B81FDA-E872-B748-8B85-E1D86546FB76}" xr6:coauthVersionLast="45" xr6:coauthVersionMax="45" xr10:uidLastSave="{00000000-0000-0000-0000-000000000000}"/>
  <bookViews>
    <workbookView xWindow="1060" yWindow="480" windowWidth="50160" windowHeight="28340" activeTab="2" xr2:uid="{00000000-000D-0000-FFFF-FFFF00000000}"/>
  </bookViews>
  <sheets>
    <sheet name="Sheet1" sheetId="3" r:id="rId1"/>
    <sheet name="Sheet2" sheetId="4" r:id="rId2"/>
    <sheet name="Sheet3" sheetId="5" r:id="rId3"/>
    <sheet name="vb_exp_content_consumed" sheetId="1" r:id="rId4"/>
    <sheet name="num_clicks" sheetId="2" r:id="rId5"/>
  </sheets>
  <definedNames>
    <definedName name="_xlnm._FilterDatabase" localSheetId="4" hidden="1">num_clicks!$A$2:$D$171</definedName>
    <definedName name="_xlnm._FilterDatabase" localSheetId="2" hidden="1">Sheet3!$A$2:$M$173</definedName>
    <definedName name="_xlnm._FilterDatabase" localSheetId="3" hidden="1">vb_exp_content_consumed!$A$1:$F$2301</definedName>
  </definedNames>
  <calcPr calcId="191029"/>
  <pivotCaches>
    <pivotCache cacheId="142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73" i="5" l="1"/>
  <c r="J173" i="5"/>
  <c r="G173" i="5"/>
  <c r="F173" i="5"/>
  <c r="I98" i="5"/>
  <c r="C173" i="5"/>
  <c r="B173" i="5"/>
  <c r="M113" i="5"/>
  <c r="M114" i="5"/>
  <c r="M98" i="5"/>
  <c r="M65" i="5"/>
  <c r="M115" i="5"/>
  <c r="M9" i="5"/>
  <c r="M95" i="5"/>
  <c r="M89" i="5"/>
  <c r="M116" i="5"/>
  <c r="M72" i="5"/>
  <c r="M73" i="5"/>
  <c r="M58" i="5"/>
  <c r="M74" i="5"/>
  <c r="M75" i="5"/>
  <c r="M38" i="5"/>
  <c r="M15" i="5"/>
  <c r="M117" i="5"/>
  <c r="M111" i="5"/>
  <c r="M18" i="5"/>
  <c r="M91" i="5"/>
  <c r="M94" i="5"/>
  <c r="M79" i="5"/>
  <c r="M118" i="5"/>
  <c r="M41" i="5"/>
  <c r="M67" i="5"/>
  <c r="M49" i="5"/>
  <c r="M62" i="5"/>
  <c r="M43" i="5"/>
  <c r="M8" i="5"/>
  <c r="M105" i="5"/>
  <c r="M36" i="5"/>
  <c r="M78" i="5"/>
  <c r="M14" i="5"/>
  <c r="M119" i="5"/>
  <c r="M120" i="5"/>
  <c r="M20" i="5"/>
  <c r="M121" i="5"/>
  <c r="M122" i="5"/>
  <c r="M47" i="5"/>
  <c r="M55" i="5"/>
  <c r="M63" i="5"/>
  <c r="M123" i="5"/>
  <c r="M22" i="5"/>
  <c r="M107" i="5"/>
  <c r="M106" i="5"/>
  <c r="M124" i="5"/>
  <c r="M92" i="5"/>
  <c r="M99" i="5"/>
  <c r="M21" i="5"/>
  <c r="M125" i="5"/>
  <c r="M42" i="5"/>
  <c r="M126" i="5"/>
  <c r="M127" i="5"/>
  <c r="M90" i="5"/>
  <c r="M70" i="5"/>
  <c r="M128" i="5"/>
  <c r="M85" i="5"/>
  <c r="M129" i="5"/>
  <c r="M130" i="5"/>
  <c r="M131" i="5"/>
  <c r="M132" i="5"/>
  <c r="M81" i="5"/>
  <c r="M28" i="5"/>
  <c r="M27" i="5"/>
  <c r="M59" i="5"/>
  <c r="M133" i="5"/>
  <c r="M44" i="5"/>
  <c r="M40" i="5"/>
  <c r="M84" i="5"/>
  <c r="M134" i="5"/>
  <c r="M52" i="5"/>
  <c r="M93" i="5"/>
  <c r="M5" i="5"/>
  <c r="M45" i="5"/>
  <c r="M135" i="5"/>
  <c r="M136" i="5"/>
  <c r="M137" i="5"/>
  <c r="M138" i="5"/>
  <c r="M77" i="5"/>
  <c r="M139" i="5"/>
  <c r="M26" i="5"/>
  <c r="M140" i="5"/>
  <c r="M141" i="5"/>
  <c r="M142" i="5"/>
  <c r="M69" i="5"/>
  <c r="M143" i="5"/>
  <c r="M17" i="5"/>
  <c r="M7" i="5"/>
  <c r="M10" i="5"/>
  <c r="M144" i="5"/>
  <c r="M24" i="5"/>
  <c r="M68" i="5"/>
  <c r="M56" i="5"/>
  <c r="M145" i="5"/>
  <c r="M53" i="5"/>
  <c r="M80" i="5"/>
  <c r="M25" i="5"/>
  <c r="M146" i="5"/>
  <c r="M147" i="5"/>
  <c r="M76" i="5"/>
  <c r="M148" i="5"/>
  <c r="M149" i="5"/>
  <c r="M103" i="5"/>
  <c r="M150" i="5"/>
  <c r="M13" i="5"/>
  <c r="M151" i="5"/>
  <c r="M152" i="5"/>
  <c r="M46" i="5"/>
  <c r="M88" i="5"/>
  <c r="M30" i="5"/>
  <c r="M50" i="5"/>
  <c r="M110" i="5"/>
  <c r="M153" i="5"/>
  <c r="M33" i="5"/>
  <c r="M154" i="5"/>
  <c r="M155" i="5"/>
  <c r="M156" i="5"/>
  <c r="M66" i="5"/>
  <c r="M157" i="5"/>
  <c r="M158" i="5"/>
  <c r="M159" i="5"/>
  <c r="M48" i="5"/>
  <c r="M104" i="5"/>
  <c r="M64" i="5"/>
  <c r="M160" i="5"/>
  <c r="M82" i="5"/>
  <c r="M161" i="5"/>
  <c r="M162" i="5"/>
  <c r="M32" i="5"/>
  <c r="M6" i="5"/>
  <c r="M57" i="5"/>
  <c r="M61" i="5"/>
  <c r="M12" i="5"/>
  <c r="M163" i="5"/>
  <c r="M29" i="5"/>
  <c r="M164" i="5"/>
  <c r="M101" i="5"/>
  <c r="M60" i="5"/>
  <c r="M54" i="5"/>
  <c r="M165" i="5"/>
  <c r="M166" i="5"/>
  <c r="M86" i="5"/>
  <c r="M51" i="5"/>
  <c r="M100" i="5"/>
  <c r="M37" i="5"/>
  <c r="M83" i="5"/>
  <c r="M19" i="5"/>
  <c r="M31" i="5"/>
  <c r="M34" i="5"/>
  <c r="M96" i="5"/>
  <c r="M35" i="5"/>
  <c r="M167" i="5"/>
  <c r="M168" i="5"/>
  <c r="M87" i="5"/>
  <c r="M11" i="5"/>
  <c r="M3" i="5"/>
  <c r="M23" i="5"/>
  <c r="M97" i="5"/>
  <c r="M71" i="5"/>
  <c r="M169" i="5"/>
  <c r="M109" i="5"/>
  <c r="M4" i="5"/>
  <c r="M39" i="5"/>
  <c r="M16" i="5"/>
  <c r="M102" i="5"/>
  <c r="M108" i="5"/>
  <c r="M112" i="5"/>
  <c r="I113" i="5"/>
  <c r="I114" i="5"/>
  <c r="I65" i="5"/>
  <c r="I115" i="5"/>
  <c r="I9" i="5"/>
  <c r="I95" i="5"/>
  <c r="I89" i="5"/>
  <c r="I116" i="5"/>
  <c r="I72" i="5"/>
  <c r="I73" i="5"/>
  <c r="I58" i="5"/>
  <c r="I74" i="5"/>
  <c r="I75" i="5"/>
  <c r="I38" i="5"/>
  <c r="I15" i="5"/>
  <c r="I117" i="5"/>
  <c r="I111" i="5"/>
  <c r="I18" i="5"/>
  <c r="I91" i="5"/>
  <c r="I94" i="5"/>
  <c r="I79" i="5"/>
  <c r="I118" i="5"/>
  <c r="I41" i="5"/>
  <c r="I67" i="5"/>
  <c r="I49" i="5"/>
  <c r="I62" i="5"/>
  <c r="I43" i="5"/>
  <c r="I8" i="5"/>
  <c r="I105" i="5"/>
  <c r="I36" i="5"/>
  <c r="I78" i="5"/>
  <c r="I14" i="5"/>
  <c r="I119" i="5"/>
  <c r="I120" i="5"/>
  <c r="I20" i="5"/>
  <c r="I121" i="5"/>
  <c r="I122" i="5"/>
  <c r="I47" i="5"/>
  <c r="I55" i="5"/>
  <c r="I63" i="5"/>
  <c r="I123" i="5"/>
  <c r="I22" i="5"/>
  <c r="I107" i="5"/>
  <c r="I106" i="5"/>
  <c r="I124" i="5"/>
  <c r="I92" i="5"/>
  <c r="I99" i="5"/>
  <c r="I21" i="5"/>
  <c r="I125" i="5"/>
  <c r="I42" i="5"/>
  <c r="I126" i="5"/>
  <c r="I127" i="5"/>
  <c r="I90" i="5"/>
  <c r="I70" i="5"/>
  <c r="I128" i="5"/>
  <c r="I85" i="5"/>
  <c r="I129" i="5"/>
  <c r="I130" i="5"/>
  <c r="I131" i="5"/>
  <c r="I132" i="5"/>
  <c r="I81" i="5"/>
  <c r="I28" i="5"/>
  <c r="I27" i="5"/>
  <c r="I59" i="5"/>
  <c r="I133" i="5"/>
  <c r="I44" i="5"/>
  <c r="I40" i="5"/>
  <c r="I84" i="5"/>
  <c r="I134" i="5"/>
  <c r="I52" i="5"/>
  <c r="I93" i="5"/>
  <c r="I5" i="5"/>
  <c r="I45" i="5"/>
  <c r="I135" i="5"/>
  <c r="I136" i="5"/>
  <c r="I137" i="5"/>
  <c r="I138" i="5"/>
  <c r="I77" i="5"/>
  <c r="I139" i="5"/>
  <c r="I26" i="5"/>
  <c r="I140" i="5"/>
  <c r="I141" i="5"/>
  <c r="I142" i="5"/>
  <c r="I69" i="5"/>
  <c r="I143" i="5"/>
  <c r="I17" i="5"/>
  <c r="I7" i="5"/>
  <c r="I10" i="5"/>
  <c r="I144" i="5"/>
  <c r="I24" i="5"/>
  <c r="I68" i="5"/>
  <c r="I56" i="5"/>
  <c r="I145" i="5"/>
  <c r="I53" i="5"/>
  <c r="I80" i="5"/>
  <c r="I25" i="5"/>
  <c r="I146" i="5"/>
  <c r="I147" i="5"/>
  <c r="I76" i="5"/>
  <c r="I148" i="5"/>
  <c r="I149" i="5"/>
  <c r="I103" i="5"/>
  <c r="I150" i="5"/>
  <c r="I13" i="5"/>
  <c r="I151" i="5"/>
  <c r="I152" i="5"/>
  <c r="I46" i="5"/>
  <c r="I88" i="5"/>
  <c r="I30" i="5"/>
  <c r="I50" i="5"/>
  <c r="I110" i="5"/>
  <c r="I153" i="5"/>
  <c r="I33" i="5"/>
  <c r="I154" i="5"/>
  <c r="I155" i="5"/>
  <c r="I156" i="5"/>
  <c r="I66" i="5"/>
  <c r="I157" i="5"/>
  <c r="I158" i="5"/>
  <c r="I159" i="5"/>
  <c r="I48" i="5"/>
  <c r="I104" i="5"/>
  <c r="I64" i="5"/>
  <c r="I160" i="5"/>
  <c r="I82" i="5"/>
  <c r="I161" i="5"/>
  <c r="I162" i="5"/>
  <c r="I32" i="5"/>
  <c r="I6" i="5"/>
  <c r="I57" i="5"/>
  <c r="I61" i="5"/>
  <c r="I12" i="5"/>
  <c r="I163" i="5"/>
  <c r="I29" i="5"/>
  <c r="I164" i="5"/>
  <c r="I101" i="5"/>
  <c r="I60" i="5"/>
  <c r="I54" i="5"/>
  <c r="I165" i="5"/>
  <c r="I166" i="5"/>
  <c r="I86" i="5"/>
  <c r="I51" i="5"/>
  <c r="I100" i="5"/>
  <c r="I37" i="5"/>
  <c r="I83" i="5"/>
  <c r="I19" i="5"/>
  <c r="I31" i="5"/>
  <c r="I34" i="5"/>
  <c r="I96" i="5"/>
  <c r="I35" i="5"/>
  <c r="I167" i="5"/>
  <c r="I168" i="5"/>
  <c r="I87" i="5"/>
  <c r="I11" i="5"/>
  <c r="I3" i="5"/>
  <c r="I23" i="5"/>
  <c r="I97" i="5"/>
  <c r="I71" i="5"/>
  <c r="I169" i="5"/>
  <c r="I109" i="5"/>
  <c r="I4" i="5"/>
  <c r="I39" i="5"/>
  <c r="I16" i="5"/>
  <c r="I102" i="5"/>
  <c r="I108" i="5"/>
  <c r="I112" i="5"/>
  <c r="E113" i="5"/>
  <c r="E114" i="5"/>
  <c r="E98" i="5"/>
  <c r="E65" i="5"/>
  <c r="E115" i="5"/>
  <c r="E9" i="5"/>
  <c r="E95" i="5"/>
  <c r="E89" i="5"/>
  <c r="E116" i="5"/>
  <c r="E72" i="5"/>
  <c r="E73" i="5"/>
  <c r="E58" i="5"/>
  <c r="E74" i="5"/>
  <c r="E75" i="5"/>
  <c r="E38" i="5"/>
  <c r="E15" i="5"/>
  <c r="E117" i="5"/>
  <c r="E111" i="5"/>
  <c r="E18" i="5"/>
  <c r="E91" i="5"/>
  <c r="E94" i="5"/>
  <c r="E79" i="5"/>
  <c r="E118" i="5"/>
  <c r="E41" i="5"/>
  <c r="E67" i="5"/>
  <c r="E49" i="5"/>
  <c r="E62" i="5"/>
  <c r="E43" i="5"/>
  <c r="E8" i="5"/>
  <c r="E105" i="5"/>
  <c r="E36" i="5"/>
  <c r="E78" i="5"/>
  <c r="E14" i="5"/>
  <c r="E119" i="5"/>
  <c r="E120" i="5"/>
  <c r="E20" i="5"/>
  <c r="E121" i="5"/>
  <c r="E122" i="5"/>
  <c r="E47" i="5"/>
  <c r="E55" i="5"/>
  <c r="E63" i="5"/>
  <c r="E123" i="5"/>
  <c r="E22" i="5"/>
  <c r="E107" i="5"/>
  <c r="E106" i="5"/>
  <c r="E124" i="5"/>
  <c r="E92" i="5"/>
  <c r="E99" i="5"/>
  <c r="E21" i="5"/>
  <c r="E125" i="5"/>
  <c r="E42" i="5"/>
  <c r="E126" i="5"/>
  <c r="E127" i="5"/>
  <c r="E90" i="5"/>
  <c r="E70" i="5"/>
  <c r="E128" i="5"/>
  <c r="E85" i="5"/>
  <c r="E129" i="5"/>
  <c r="E130" i="5"/>
  <c r="E131" i="5"/>
  <c r="E132" i="5"/>
  <c r="E81" i="5"/>
  <c r="E28" i="5"/>
  <c r="E27" i="5"/>
  <c r="E59" i="5"/>
  <c r="E133" i="5"/>
  <c r="E44" i="5"/>
  <c r="E40" i="5"/>
  <c r="E84" i="5"/>
  <c r="E134" i="5"/>
  <c r="E52" i="5"/>
  <c r="E93" i="5"/>
  <c r="E5" i="5"/>
  <c r="E45" i="5"/>
  <c r="E135" i="5"/>
  <c r="E136" i="5"/>
  <c r="E137" i="5"/>
  <c r="E138" i="5"/>
  <c r="E77" i="5"/>
  <c r="E139" i="5"/>
  <c r="E26" i="5"/>
  <c r="E140" i="5"/>
  <c r="E141" i="5"/>
  <c r="E142" i="5"/>
  <c r="E69" i="5"/>
  <c r="E143" i="5"/>
  <c r="E17" i="5"/>
  <c r="E7" i="5"/>
  <c r="E10" i="5"/>
  <c r="E144" i="5"/>
  <c r="E24" i="5"/>
  <c r="E68" i="5"/>
  <c r="E56" i="5"/>
  <c r="E145" i="5"/>
  <c r="E53" i="5"/>
  <c r="E80" i="5"/>
  <c r="E25" i="5"/>
  <c r="E146" i="5"/>
  <c r="E147" i="5"/>
  <c r="E76" i="5"/>
  <c r="E148" i="5"/>
  <c r="E149" i="5"/>
  <c r="E103" i="5"/>
  <c r="E150" i="5"/>
  <c r="E13" i="5"/>
  <c r="E151" i="5"/>
  <c r="E152" i="5"/>
  <c r="E46" i="5"/>
  <c r="E88" i="5"/>
  <c r="E30" i="5"/>
  <c r="E50" i="5"/>
  <c r="E110" i="5"/>
  <c r="E153" i="5"/>
  <c r="E33" i="5"/>
  <c r="E154" i="5"/>
  <c r="E155" i="5"/>
  <c r="E156" i="5"/>
  <c r="E66" i="5"/>
  <c r="E157" i="5"/>
  <c r="E158" i="5"/>
  <c r="E159" i="5"/>
  <c r="E48" i="5"/>
  <c r="E104" i="5"/>
  <c r="E64" i="5"/>
  <c r="E160" i="5"/>
  <c r="E82" i="5"/>
  <c r="E161" i="5"/>
  <c r="E162" i="5"/>
  <c r="E32" i="5"/>
  <c r="E6" i="5"/>
  <c r="E57" i="5"/>
  <c r="E61" i="5"/>
  <c r="E12" i="5"/>
  <c r="E163" i="5"/>
  <c r="E29" i="5"/>
  <c r="E164" i="5"/>
  <c r="E101" i="5"/>
  <c r="E60" i="5"/>
  <c r="E54" i="5"/>
  <c r="E165" i="5"/>
  <c r="E166" i="5"/>
  <c r="E86" i="5"/>
  <c r="E51" i="5"/>
  <c r="E100" i="5"/>
  <c r="E37" i="5"/>
  <c r="E83" i="5"/>
  <c r="E19" i="5"/>
  <c r="E31" i="5"/>
  <c r="E34" i="5"/>
  <c r="E96" i="5"/>
  <c r="E35" i="5"/>
  <c r="E167" i="5"/>
  <c r="E168" i="5"/>
  <c r="E87" i="5"/>
  <c r="E11" i="5"/>
  <c r="E3" i="5"/>
  <c r="E23" i="5"/>
  <c r="E97" i="5"/>
  <c r="E71" i="5"/>
  <c r="E169" i="5"/>
  <c r="E109" i="5"/>
  <c r="E4" i="5"/>
  <c r="E39" i="5"/>
  <c r="E16" i="5"/>
  <c r="E102" i="5"/>
  <c r="E108" i="5"/>
  <c r="E112" i="5"/>
  <c r="H58" i="5" l="1"/>
  <c r="D104" i="5"/>
  <c r="L3" i="5"/>
  <c r="P3" i="5"/>
  <c r="H61" i="5"/>
  <c r="P4" i="5"/>
  <c r="P5" i="5"/>
  <c r="P2" i="5"/>
  <c r="H135" i="5"/>
  <c r="H168" i="5"/>
  <c r="H8" i="5"/>
  <c r="H81" i="5"/>
  <c r="H120" i="5"/>
  <c r="H119" i="5"/>
  <c r="H167" i="5"/>
  <c r="H10" i="5"/>
  <c r="H80" i="5"/>
  <c r="H21" i="5"/>
  <c r="H65" i="5"/>
  <c r="H152" i="5"/>
  <c r="H26" i="5"/>
  <c r="H151" i="5"/>
  <c r="H27" i="5"/>
  <c r="H106" i="5"/>
  <c r="H103" i="5"/>
  <c r="H136" i="5"/>
  <c r="H43" i="5"/>
  <c r="H19" i="5"/>
  <c r="H144" i="5"/>
  <c r="H17" i="5"/>
  <c r="H35" i="5"/>
  <c r="H82" i="5"/>
  <c r="H159" i="5"/>
  <c r="H143" i="5"/>
  <c r="H127" i="5"/>
  <c r="H101" i="5"/>
  <c r="H18" i="5"/>
  <c r="H34" i="5"/>
  <c r="H92" i="5"/>
  <c r="H53" i="5"/>
  <c r="H73" i="5"/>
  <c r="H47" i="5"/>
  <c r="H166" i="5"/>
  <c r="H150" i="5"/>
  <c r="H134" i="5"/>
  <c r="H118" i="5"/>
  <c r="H11" i="5"/>
  <c r="H30" i="5"/>
  <c r="H96" i="5"/>
  <c r="H66" i="5"/>
  <c r="H75" i="5"/>
  <c r="H83" i="5"/>
  <c r="H100" i="5"/>
  <c r="H161" i="5"/>
  <c r="H145" i="5"/>
  <c r="H129" i="5"/>
  <c r="H113" i="5"/>
  <c r="H16" i="5"/>
  <c r="H33" i="5"/>
  <c r="H44" i="5"/>
  <c r="H55" i="5"/>
  <c r="H74" i="5"/>
  <c r="H89" i="5"/>
  <c r="H160" i="5"/>
  <c r="H128" i="5"/>
  <c r="H52" i="5"/>
  <c r="H48" i="5"/>
  <c r="H158" i="5"/>
  <c r="H142" i="5"/>
  <c r="H126" i="5"/>
  <c r="H4" i="5"/>
  <c r="H98" i="5"/>
  <c r="H36" i="5"/>
  <c r="H91" i="5"/>
  <c r="H68" i="5"/>
  <c r="H72" i="5"/>
  <c r="H105" i="5"/>
  <c r="H112" i="5"/>
  <c r="H76" i="5"/>
  <c r="D100" i="5"/>
  <c r="H169" i="5"/>
  <c r="H153" i="5"/>
  <c r="H137" i="5"/>
  <c r="H121" i="5"/>
  <c r="H7" i="5"/>
  <c r="H25" i="5"/>
  <c r="H42" i="5"/>
  <c r="H57" i="5"/>
  <c r="H71" i="5"/>
  <c r="H67" i="5"/>
  <c r="H99" i="5"/>
  <c r="L123" i="5"/>
  <c r="L107" i="5"/>
  <c r="L154" i="5"/>
  <c r="L15" i="5"/>
  <c r="L62" i="5"/>
  <c r="L103" i="5"/>
  <c r="L169" i="5"/>
  <c r="L161" i="5"/>
  <c r="L153" i="5"/>
  <c r="L145" i="5"/>
  <c r="L137" i="5"/>
  <c r="L129" i="5"/>
  <c r="L121" i="5"/>
  <c r="L113" i="5"/>
  <c r="L7" i="5"/>
  <c r="L16" i="5"/>
  <c r="L25" i="5"/>
  <c r="L33" i="5"/>
  <c r="L42" i="5"/>
  <c r="L44" i="5"/>
  <c r="L57" i="5"/>
  <c r="L55" i="5"/>
  <c r="L71" i="5"/>
  <c r="L74" i="5"/>
  <c r="L67" i="5"/>
  <c r="L89" i="5"/>
  <c r="L105" i="5"/>
  <c r="L147" i="5"/>
  <c r="L31" i="5"/>
  <c r="L77" i="5"/>
  <c r="L146" i="5"/>
  <c r="L9" i="5"/>
  <c r="L51" i="5"/>
  <c r="L85" i="5"/>
  <c r="H97" i="5"/>
  <c r="L168" i="5"/>
  <c r="L160" i="5"/>
  <c r="L152" i="5"/>
  <c r="L144" i="5"/>
  <c r="L136" i="5"/>
  <c r="L128" i="5"/>
  <c r="L120" i="5"/>
  <c r="L112" i="5"/>
  <c r="L8" i="5"/>
  <c r="L17" i="5"/>
  <c r="L26" i="5"/>
  <c r="L35" i="5"/>
  <c r="L43" i="5"/>
  <c r="L52" i="5"/>
  <c r="L61" i="5"/>
  <c r="L76" i="5"/>
  <c r="L81" i="5"/>
  <c r="L82" i="5"/>
  <c r="L58" i="5"/>
  <c r="L48" i="5"/>
  <c r="L99" i="5"/>
  <c r="L163" i="5"/>
  <c r="L14" i="5"/>
  <c r="L54" i="5"/>
  <c r="L170" i="5"/>
  <c r="L114" i="5"/>
  <c r="L40" i="5"/>
  <c r="L50" i="5"/>
  <c r="H104" i="5"/>
  <c r="H165" i="5"/>
  <c r="H157" i="5"/>
  <c r="H149" i="5"/>
  <c r="H141" i="5"/>
  <c r="H133" i="5"/>
  <c r="H125" i="5"/>
  <c r="H117" i="5"/>
  <c r="H5" i="5"/>
  <c r="H13" i="5"/>
  <c r="H20" i="5"/>
  <c r="H28" i="5"/>
  <c r="H37" i="5"/>
  <c r="H95" i="5"/>
  <c r="H90" i="5"/>
  <c r="H70" i="5"/>
  <c r="H109" i="5"/>
  <c r="H63" i="5"/>
  <c r="H69" i="5"/>
  <c r="H88" i="5"/>
  <c r="H93" i="5"/>
  <c r="H102" i="5"/>
  <c r="L167" i="5"/>
  <c r="L159" i="5"/>
  <c r="L151" i="5"/>
  <c r="L143" i="5"/>
  <c r="L135" i="5"/>
  <c r="L127" i="5"/>
  <c r="L119" i="5"/>
  <c r="L101" i="5"/>
  <c r="L10" i="5"/>
  <c r="L18" i="5"/>
  <c r="L27" i="5"/>
  <c r="L34" i="5"/>
  <c r="L21" i="5"/>
  <c r="L92" i="5"/>
  <c r="L65" i="5"/>
  <c r="L53" i="5"/>
  <c r="L80" i="5"/>
  <c r="L73" i="5"/>
  <c r="L106" i="5"/>
  <c r="L47" i="5"/>
  <c r="L19" i="5"/>
  <c r="L131" i="5"/>
  <c r="L23" i="5"/>
  <c r="L46" i="5"/>
  <c r="L138" i="5"/>
  <c r="L86" i="5"/>
  <c r="H172" i="5"/>
  <c r="H164" i="5"/>
  <c r="H156" i="5"/>
  <c r="H148" i="5"/>
  <c r="H140" i="5"/>
  <c r="H132" i="5"/>
  <c r="H124" i="5"/>
  <c r="H116" i="5"/>
  <c r="H111" i="5"/>
  <c r="H12" i="5"/>
  <c r="H22" i="5"/>
  <c r="H29" i="5"/>
  <c r="H38" i="5"/>
  <c r="H94" i="5"/>
  <c r="H59" i="5"/>
  <c r="H87" i="5"/>
  <c r="H64" i="5"/>
  <c r="H78" i="5"/>
  <c r="H79" i="5"/>
  <c r="H56" i="5"/>
  <c r="H45" i="5"/>
  <c r="H3" i="5"/>
  <c r="L166" i="5"/>
  <c r="L158" i="5"/>
  <c r="L150" i="5"/>
  <c r="L142" i="5"/>
  <c r="L134" i="5"/>
  <c r="L126" i="5"/>
  <c r="L118" i="5"/>
  <c r="L4" i="5"/>
  <c r="L11" i="5"/>
  <c r="L98" i="5"/>
  <c r="L30" i="5"/>
  <c r="L36" i="5"/>
  <c r="L96" i="5"/>
  <c r="L91" i="5"/>
  <c r="L66" i="5"/>
  <c r="L68" i="5"/>
  <c r="L75" i="5"/>
  <c r="L72" i="5"/>
  <c r="L83" i="5"/>
  <c r="L97" i="5"/>
  <c r="L100" i="5"/>
  <c r="L155" i="5"/>
  <c r="L115" i="5"/>
  <c r="L49" i="5"/>
  <c r="L41" i="5"/>
  <c r="L130" i="5"/>
  <c r="L32" i="5"/>
  <c r="L108" i="5"/>
  <c r="H171" i="5"/>
  <c r="H163" i="5"/>
  <c r="H155" i="5"/>
  <c r="H147" i="5"/>
  <c r="H139" i="5"/>
  <c r="H131" i="5"/>
  <c r="H123" i="5"/>
  <c r="H115" i="5"/>
  <c r="H6" i="5"/>
  <c r="H14" i="5"/>
  <c r="H23" i="5"/>
  <c r="H31" i="5"/>
  <c r="H39" i="5"/>
  <c r="H49" i="5"/>
  <c r="H60" i="5"/>
  <c r="H110" i="5"/>
  <c r="H46" i="5"/>
  <c r="H77" i="5"/>
  <c r="H107" i="5"/>
  <c r="H54" i="5"/>
  <c r="H41" i="5"/>
  <c r="L104" i="5"/>
  <c r="L165" i="5"/>
  <c r="L157" i="5"/>
  <c r="L149" i="5"/>
  <c r="L141" i="5"/>
  <c r="L133" i="5"/>
  <c r="L125" i="5"/>
  <c r="L117" i="5"/>
  <c r="L5" i="5"/>
  <c r="L13" i="5"/>
  <c r="L20" i="5"/>
  <c r="L28" i="5"/>
  <c r="L37" i="5"/>
  <c r="L95" i="5"/>
  <c r="L90" i="5"/>
  <c r="L70" i="5"/>
  <c r="L109" i="5"/>
  <c r="L63" i="5"/>
  <c r="L69" i="5"/>
  <c r="L88" i="5"/>
  <c r="L93" i="5"/>
  <c r="L102" i="5"/>
  <c r="L171" i="5"/>
  <c r="L139" i="5"/>
  <c r="L6" i="5"/>
  <c r="L39" i="5"/>
  <c r="L60" i="5"/>
  <c r="L110" i="5"/>
  <c r="L162" i="5"/>
  <c r="L122" i="5"/>
  <c r="L24" i="5"/>
  <c r="L84" i="5"/>
  <c r="H170" i="5"/>
  <c r="H162" i="5"/>
  <c r="H154" i="5"/>
  <c r="H146" i="5"/>
  <c r="H138" i="5"/>
  <c r="H130" i="5"/>
  <c r="H122" i="5"/>
  <c r="H114" i="5"/>
  <c r="H9" i="5"/>
  <c r="H15" i="5"/>
  <c r="H24" i="5"/>
  <c r="H32" i="5"/>
  <c r="H40" i="5"/>
  <c r="H51" i="5"/>
  <c r="H62" i="5"/>
  <c r="H86" i="5"/>
  <c r="H85" i="5"/>
  <c r="H108" i="5"/>
  <c r="H84" i="5"/>
  <c r="H50" i="5"/>
  <c r="L172" i="5"/>
  <c r="L164" i="5"/>
  <c r="L156" i="5"/>
  <c r="L148" i="5"/>
  <c r="L140" i="5"/>
  <c r="L132" i="5"/>
  <c r="L124" i="5"/>
  <c r="L116" i="5"/>
  <c r="L111" i="5"/>
  <c r="L12" i="5"/>
  <c r="L22" i="5"/>
  <c r="L29" i="5"/>
  <c r="L38" i="5"/>
  <c r="L94" i="5"/>
  <c r="L59" i="5"/>
  <c r="L87" i="5"/>
  <c r="L64" i="5"/>
  <c r="L78" i="5"/>
  <c r="L79" i="5"/>
  <c r="L56" i="5"/>
  <c r="L45" i="5"/>
  <c r="D107" i="5"/>
  <c r="D101" i="5"/>
  <c r="D173" i="5"/>
  <c r="D155" i="5"/>
  <c r="D14" i="5"/>
  <c r="D49" i="5"/>
  <c r="D87" i="5"/>
  <c r="D146" i="5"/>
  <c r="D114" i="5"/>
  <c r="D24" i="5"/>
  <c r="D51" i="5"/>
  <c r="D67" i="5"/>
  <c r="D108" i="5"/>
  <c r="D90" i="5"/>
  <c r="D169" i="5"/>
  <c r="D161" i="5"/>
  <c r="D153" i="5"/>
  <c r="D145" i="5"/>
  <c r="D137" i="5"/>
  <c r="D129" i="5"/>
  <c r="D121" i="5"/>
  <c r="D113" i="5"/>
  <c r="D7" i="5"/>
  <c r="D16" i="5"/>
  <c r="D25" i="5"/>
  <c r="D33" i="5"/>
  <c r="D42" i="5"/>
  <c r="D44" i="5"/>
  <c r="D57" i="5"/>
  <c r="D55" i="5"/>
  <c r="D71" i="5"/>
  <c r="D72" i="5"/>
  <c r="D81" i="5"/>
  <c r="D89" i="5"/>
  <c r="D105" i="5"/>
  <c r="D163" i="5"/>
  <c r="D123" i="5"/>
  <c r="D39" i="5"/>
  <c r="D46" i="5"/>
  <c r="D162" i="5"/>
  <c r="D130" i="5"/>
  <c r="D9" i="5"/>
  <c r="D32" i="5"/>
  <c r="D103" i="5"/>
  <c r="D168" i="5"/>
  <c r="D160" i="5"/>
  <c r="D152" i="5"/>
  <c r="D144" i="5"/>
  <c r="D136" i="5"/>
  <c r="D128" i="5"/>
  <c r="D120" i="5"/>
  <c r="D112" i="5"/>
  <c r="D8" i="5"/>
  <c r="D17" i="5"/>
  <c r="D26" i="5"/>
  <c r="D35" i="5"/>
  <c r="D43" i="5"/>
  <c r="D52" i="5"/>
  <c r="D61" i="5"/>
  <c r="D76" i="5"/>
  <c r="D50" i="5"/>
  <c r="D82" i="5"/>
  <c r="D78" i="5"/>
  <c r="D95" i="5"/>
  <c r="D99" i="5"/>
  <c r="D139" i="5"/>
  <c r="D96" i="5"/>
  <c r="D167" i="5"/>
  <c r="D159" i="5"/>
  <c r="D151" i="5"/>
  <c r="D143" i="5"/>
  <c r="D135" i="5"/>
  <c r="D127" i="5"/>
  <c r="D119" i="5"/>
  <c r="D3" i="5"/>
  <c r="D10" i="5"/>
  <c r="D18" i="5"/>
  <c r="D27" i="5"/>
  <c r="D34" i="5"/>
  <c r="D21" i="5"/>
  <c r="D54" i="5"/>
  <c r="D65" i="5"/>
  <c r="D53" i="5"/>
  <c r="D80" i="5"/>
  <c r="D77" i="5"/>
  <c r="D106" i="5"/>
  <c r="D92" i="5"/>
  <c r="D98" i="5"/>
  <c r="D147" i="5"/>
  <c r="D6" i="5"/>
  <c r="D31" i="5"/>
  <c r="D60" i="5"/>
  <c r="D110" i="5"/>
  <c r="D154" i="5"/>
  <c r="D138" i="5"/>
  <c r="D122" i="5"/>
  <c r="D15" i="5"/>
  <c r="D40" i="5"/>
  <c r="D62" i="5"/>
  <c r="D86" i="5"/>
  <c r="D84" i="5"/>
  <c r="D166" i="5"/>
  <c r="D158" i="5"/>
  <c r="D150" i="5"/>
  <c r="D142" i="5"/>
  <c r="D134" i="5"/>
  <c r="D126" i="5"/>
  <c r="D118" i="5"/>
  <c r="D4" i="5"/>
  <c r="D11" i="5"/>
  <c r="D19" i="5"/>
  <c r="D30" i="5"/>
  <c r="D36" i="5"/>
  <c r="D41" i="5"/>
  <c r="D56" i="5"/>
  <c r="D66" i="5"/>
  <c r="D68" i="5"/>
  <c r="D75" i="5"/>
  <c r="D91" i="5"/>
  <c r="D83" i="5"/>
  <c r="D97" i="5"/>
  <c r="D115" i="5"/>
  <c r="D58" i="5"/>
  <c r="D165" i="5"/>
  <c r="D157" i="5"/>
  <c r="D149" i="5"/>
  <c r="D141" i="5"/>
  <c r="D133" i="5"/>
  <c r="D125" i="5"/>
  <c r="D117" i="5"/>
  <c r="D5" i="5"/>
  <c r="D13" i="5"/>
  <c r="D20" i="5"/>
  <c r="D28" i="5"/>
  <c r="D37" i="5"/>
  <c r="D45" i="5"/>
  <c r="D48" i="5"/>
  <c r="D70" i="5"/>
  <c r="D109" i="5"/>
  <c r="D63" i="5"/>
  <c r="D73" i="5"/>
  <c r="D88" i="5"/>
  <c r="D93" i="5"/>
  <c r="D102" i="5"/>
  <c r="D131" i="5"/>
  <c r="D23" i="5"/>
  <c r="D164" i="5"/>
  <c r="D156" i="5"/>
  <c r="D148" i="5"/>
  <c r="D140" i="5"/>
  <c r="D132" i="5"/>
  <c r="D124" i="5"/>
  <c r="D116" i="5"/>
  <c r="D111" i="5"/>
  <c r="D12" i="5"/>
  <c r="D22" i="5"/>
  <c r="D29" i="5"/>
  <c r="D38" i="5"/>
  <c r="D47" i="5"/>
  <c r="D59" i="5"/>
  <c r="D69" i="5"/>
  <c r="D64" i="5"/>
  <c r="D74" i="5"/>
  <c r="D79" i="5"/>
  <c r="D85" i="5"/>
  <c r="D94" i="5"/>
  <c r="D5" i="2"/>
  <c r="D6" i="2"/>
  <c r="D9" i="2"/>
  <c r="D7" i="2"/>
  <c r="D10" i="2"/>
  <c r="D11" i="2"/>
  <c r="D8" i="2"/>
  <c r="D12" i="2"/>
  <c r="D14" i="2"/>
  <c r="D13" i="2"/>
  <c r="D16" i="2"/>
  <c r="D15" i="2"/>
  <c r="D20" i="2"/>
  <c r="D25" i="2"/>
  <c r="D21" i="2"/>
  <c r="D26" i="2"/>
  <c r="D24" i="2"/>
  <c r="D23" i="2"/>
  <c r="D19" i="2"/>
  <c r="D22" i="2"/>
  <c r="D17" i="2"/>
  <c r="D18" i="2"/>
  <c r="D27" i="2"/>
  <c r="D34" i="2"/>
  <c r="D35" i="2"/>
  <c r="D30" i="2"/>
  <c r="D57" i="2"/>
  <c r="D37" i="2"/>
  <c r="D36" i="2"/>
  <c r="D28" i="2"/>
  <c r="D29" i="2"/>
  <c r="D41" i="2"/>
  <c r="D43" i="2"/>
  <c r="D53" i="2"/>
  <c r="D31" i="2"/>
  <c r="D32" i="2"/>
  <c r="D33" i="2"/>
  <c r="D65" i="2"/>
  <c r="D40" i="2"/>
  <c r="D51" i="2"/>
  <c r="D50" i="2"/>
  <c r="D39" i="2"/>
  <c r="D46" i="2"/>
  <c r="D55" i="2"/>
  <c r="D38" i="2"/>
  <c r="D52" i="2"/>
  <c r="D62" i="2"/>
  <c r="D61" i="2"/>
  <c r="D66" i="2"/>
  <c r="D56" i="2"/>
  <c r="D69" i="2"/>
  <c r="D71" i="2"/>
  <c r="D49" i="2"/>
  <c r="D42" i="2"/>
  <c r="D44" i="2"/>
  <c r="D73" i="2"/>
  <c r="D86" i="2"/>
  <c r="D85" i="2"/>
  <c r="D45" i="2"/>
  <c r="D81" i="2"/>
  <c r="D60" i="2"/>
  <c r="D47" i="2"/>
  <c r="D48" i="2"/>
  <c r="D79" i="2"/>
  <c r="D77" i="2"/>
  <c r="D54" i="2"/>
  <c r="D58" i="2"/>
  <c r="D59" i="2"/>
  <c r="D74" i="2"/>
  <c r="D67" i="2"/>
  <c r="D63" i="2"/>
  <c r="D64" i="2"/>
  <c r="D70" i="2"/>
  <c r="D68" i="2"/>
  <c r="D97" i="2"/>
  <c r="D72" i="2"/>
  <c r="D80" i="2"/>
  <c r="D75" i="2"/>
  <c r="D76" i="2"/>
  <c r="D102" i="2"/>
  <c r="D78" i="2"/>
  <c r="D82" i="2"/>
  <c r="D104" i="2"/>
  <c r="D83" i="2"/>
  <c r="D113" i="2"/>
  <c r="D84" i="2"/>
  <c r="D103" i="2"/>
  <c r="D108" i="2"/>
  <c r="D89" i="2"/>
  <c r="D87" i="2"/>
  <c r="D88" i="2"/>
  <c r="D106" i="2"/>
  <c r="D109" i="2"/>
  <c r="D90" i="2"/>
  <c r="D91" i="2"/>
  <c r="D92" i="2"/>
  <c r="D116" i="2"/>
  <c r="D93" i="2"/>
  <c r="D119" i="2"/>
  <c r="D94" i="2"/>
  <c r="D96" i="2"/>
  <c r="D95" i="2"/>
  <c r="D101" i="2"/>
  <c r="D98" i="2"/>
  <c r="D99" i="2"/>
  <c r="D100" i="2"/>
  <c r="D137" i="2"/>
  <c r="D107" i="2"/>
  <c r="D105" i="2"/>
  <c r="D110" i="2"/>
  <c r="D129" i="2"/>
  <c r="D111" i="2"/>
  <c r="D112" i="2"/>
  <c r="D114" i="2"/>
  <c r="D135" i="2"/>
  <c r="D115" i="2"/>
  <c r="D117" i="2"/>
  <c r="D118" i="2"/>
  <c r="D121" i="2"/>
  <c r="D120" i="2"/>
  <c r="D122" i="2"/>
  <c r="D123" i="2"/>
  <c r="D124" i="2"/>
  <c r="D125" i="2"/>
  <c r="D134" i="2"/>
  <c r="D133" i="2"/>
  <c r="D126" i="2"/>
  <c r="D127" i="2"/>
  <c r="D131" i="2"/>
  <c r="D128" i="2"/>
  <c r="D130" i="2"/>
  <c r="D132" i="2"/>
  <c r="D142" i="2"/>
  <c r="D141" i="2"/>
  <c r="D136" i="2"/>
  <c r="D138" i="2"/>
  <c r="D139" i="2"/>
  <c r="D140" i="2"/>
  <c r="D143" i="2"/>
  <c r="D144" i="2"/>
  <c r="D145" i="2"/>
  <c r="D146" i="2"/>
  <c r="D148" i="2"/>
  <c r="D147" i="2"/>
  <c r="D149" i="2"/>
  <c r="D150" i="2"/>
  <c r="D151" i="2"/>
  <c r="D152" i="2"/>
  <c r="D153" i="2"/>
  <c r="D154" i="2"/>
  <c r="D155" i="2"/>
  <c r="D157" i="2"/>
  <c r="D156" i="2"/>
  <c r="D159" i="2"/>
  <c r="D158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3" i="2"/>
  <c r="D4" i="2"/>
</calcChain>
</file>

<file path=xl/sharedStrings.xml><?xml version="1.0" encoding="utf-8"?>
<sst xmlns="http://schemas.openxmlformats.org/spreadsheetml/2006/main" count="5158" uniqueCount="195">
  <si>
    <t>dt</t>
  </si>
  <si>
    <t>show_title</t>
  </si>
  <si>
    <t>exp_group</t>
  </si>
  <si>
    <t>num_clicks</t>
  </si>
  <si>
    <t>num_starts</t>
  </si>
  <si>
    <t>num_completes</t>
  </si>
  <si>
    <t>Celebrity MasterChef</t>
  </si>
  <si>
    <t>control</t>
  </si>
  <si>
    <t>Stacey Dooley Investigates</t>
  </si>
  <si>
    <t>variation_1</t>
  </si>
  <si>
    <t>Twin</t>
  </si>
  <si>
    <t>Breakfast</t>
  </si>
  <si>
    <t>Jack Whitehall's Sporting Nation</t>
  </si>
  <si>
    <t>Mrs. America</t>
  </si>
  <si>
    <t>The Other One</t>
  </si>
  <si>
    <t>There She Goes</t>
  </si>
  <si>
    <t>Canada's Drag Race</t>
  </si>
  <si>
    <t>Gardeners' World</t>
  </si>
  <si>
    <t>Casualty</t>
  </si>
  <si>
    <t>Dear NHS Superstars</t>
  </si>
  <si>
    <t>EastEnders 2008</t>
  </si>
  <si>
    <t>EastEnders: Iconic Episodes</t>
  </si>
  <si>
    <t>The Young Offenders</t>
  </si>
  <si>
    <t>Murder, Mystery and My Family</t>
  </si>
  <si>
    <t>The Salesman</t>
  </si>
  <si>
    <t>Gavin &amp; Stacey</t>
  </si>
  <si>
    <t>Peter Kay's Comedy Shuffle</t>
  </si>
  <si>
    <t>Dave</t>
  </si>
  <si>
    <t>Glow Up: Britain's Next Make-Up Star</t>
  </si>
  <si>
    <t>Short Term 12</t>
  </si>
  <si>
    <t>The Story of Tracy Beaker</t>
  </si>
  <si>
    <t>BBC Proms</t>
  </si>
  <si>
    <t>Nudes4Sale</t>
  </si>
  <si>
    <t>The FA Cup</t>
  </si>
  <si>
    <t>Anthony</t>
  </si>
  <si>
    <t>DEVS</t>
  </si>
  <si>
    <t>Dangerous Liaisons</t>
  </si>
  <si>
    <t>Radio 1 Dance</t>
  </si>
  <si>
    <t>Fort Salem</t>
  </si>
  <si>
    <t>Harlots</t>
  </si>
  <si>
    <t>Apocalypse Now</t>
  </si>
  <si>
    <t>Cricket: Today at the Test</t>
  </si>
  <si>
    <t>The Mysterious Murder of Nipsey Hussle</t>
  </si>
  <si>
    <t>Squeamish About‚Ä¶</t>
  </si>
  <si>
    <t>Hetty Feather</t>
  </si>
  <si>
    <t>BBC News</t>
  </si>
  <si>
    <t>What We Do in the Shadows</t>
  </si>
  <si>
    <t>The Defiant Ones</t>
  </si>
  <si>
    <t>The Rise of the Murdoch Dynasty</t>
  </si>
  <si>
    <t>EastEnders: Secrets from the Square</t>
  </si>
  <si>
    <t>A Question of Sport</t>
  </si>
  <si>
    <t>Cutting It</t>
  </si>
  <si>
    <t>Football Focus</t>
  </si>
  <si>
    <t>Jamie Johnson</t>
  </si>
  <si>
    <t>Rockfield: The Studio on the Farm</t>
  </si>
  <si>
    <t>This Country</t>
  </si>
  <si>
    <t>Enterprice</t>
  </si>
  <si>
    <t>Frankie Boyle Live: Excited for You to See and Hate This</t>
  </si>
  <si>
    <t>Match of Their Day: Jack Charlton</t>
  </si>
  <si>
    <t>Race Across the World</t>
  </si>
  <si>
    <t>The Graham Norton Show</t>
  </si>
  <si>
    <t>EastEnders</t>
  </si>
  <si>
    <t>Ibiza Dreams</t>
  </si>
  <si>
    <t>The British Academy Television Awards</t>
  </si>
  <si>
    <t>Killing Eve</t>
  </si>
  <si>
    <t>Miranda</t>
  </si>
  <si>
    <t>Hayley Goes...</t>
  </si>
  <si>
    <t>The Vivienne Takes On Hollywood</t>
  </si>
  <si>
    <t>Line of Duty</t>
  </si>
  <si>
    <t>BBC News at One</t>
  </si>
  <si>
    <t>My Family</t>
  </si>
  <si>
    <t>Alan Bennett's Talking Heads</t>
  </si>
  <si>
    <t>Ghosts</t>
  </si>
  <si>
    <t>Dracula</t>
  </si>
  <si>
    <t>Looking for Alaska</t>
  </si>
  <si>
    <t>Some Girls</t>
  </si>
  <si>
    <t>I May Destroy You</t>
  </si>
  <si>
    <t>imagine...</t>
  </si>
  <si>
    <t>The Last Wave</t>
  </si>
  <si>
    <t>Inside Monaco: Playground of the Rich</t>
  </si>
  <si>
    <t>Peter Kay's Car Share</t>
  </si>
  <si>
    <t>The One Show</t>
  </si>
  <si>
    <t>A Suitable Boy</t>
  </si>
  <si>
    <t>The Luminaries</t>
  </si>
  <si>
    <t>Doctor Who</t>
  </si>
  <si>
    <t>Louis Theroux</t>
  </si>
  <si>
    <t>Panorama</t>
  </si>
  <si>
    <t>Surviving the Virus: My Brother &amp; Me</t>
  </si>
  <si>
    <t>Death in Paradise</t>
  </si>
  <si>
    <t>Noughts + Crosses</t>
  </si>
  <si>
    <t>Top Gear</t>
  </si>
  <si>
    <t>Interview with the Vampire</t>
  </si>
  <si>
    <t>Rush</t>
  </si>
  <si>
    <t>The Secrets She Keeps</t>
  </si>
  <si>
    <t>Bad Education</t>
  </si>
  <si>
    <t>Katy Keene</t>
  </si>
  <si>
    <t>Miriam Margolyes - Almost Australian</t>
  </si>
  <si>
    <t>Holby City</t>
  </si>
  <si>
    <t>What We Did on Our Holiday</t>
  </si>
  <si>
    <t>Heartbreak Holiday</t>
  </si>
  <si>
    <t>Once Upon a Time in Iraq</t>
  </si>
  <si>
    <t>BBC News at Ten</t>
  </si>
  <si>
    <t>Louis Theroux's LA Stories</t>
  </si>
  <si>
    <t>Staged</t>
  </si>
  <si>
    <t>The Misadventures of Romesh Ranganathan</t>
  </si>
  <si>
    <t>Snooker: World Championship</t>
  </si>
  <si>
    <t>Snooker: World Championship Highlights</t>
  </si>
  <si>
    <t>The Real McCoy</t>
  </si>
  <si>
    <t>Heroes</t>
  </si>
  <si>
    <t>The Countess and the Russian Billionaire</t>
  </si>
  <si>
    <t>Yung Filly‚Äôs Celeb Lock-In</t>
  </si>
  <si>
    <t>Waterloo Road</t>
  </si>
  <si>
    <t>Our Girl</t>
  </si>
  <si>
    <t>Question Time</t>
  </si>
  <si>
    <t>The Heights</t>
  </si>
  <si>
    <t>The Salisbury Poisonings</t>
  </si>
  <si>
    <t>Match of the Day</t>
  </si>
  <si>
    <t>Models: Street To Catwalk</t>
  </si>
  <si>
    <t>International Cricket</t>
  </si>
  <si>
    <t>Cuba: Castro vs the World</t>
  </si>
  <si>
    <t>CBeebies Little Red Riding Hood</t>
  </si>
  <si>
    <t>Saving Mr Banks</t>
  </si>
  <si>
    <t>Normal People</t>
  </si>
  <si>
    <t>BBC News at Six</t>
  </si>
  <si>
    <t>3:10 to Yuma</t>
  </si>
  <si>
    <t>The Next Step</t>
  </si>
  <si>
    <t>Malory Towers</t>
  </si>
  <si>
    <t>Semi-Detached</t>
  </si>
  <si>
    <t>Mum's List</t>
  </si>
  <si>
    <t>BBC News Special</t>
  </si>
  <si>
    <t>Doctors</t>
  </si>
  <si>
    <t>Total Wipeout: Freddie &amp; Paddy Takeover</t>
  </si>
  <si>
    <t>Amazing Hotels: Life Beyond the Lobby</t>
  </si>
  <si>
    <t>Beethoven‚Äôs Fidelio: the Royal Opera</t>
  </si>
  <si>
    <t>Rodney P's Jazz Funk</t>
  </si>
  <si>
    <t>The First Team</t>
  </si>
  <si>
    <t>The Revenant</t>
  </si>
  <si>
    <t>Spooks</t>
  </si>
  <si>
    <t>Strasbourg 1518</t>
  </si>
  <si>
    <t>Olympics Rewind</t>
  </si>
  <si>
    <t>Peter Crouch: Save Our Summer</t>
  </si>
  <si>
    <t>The Duchess</t>
  </si>
  <si>
    <t>Deep Impact</t>
  </si>
  <si>
    <t>The Blair Witch Project</t>
  </si>
  <si>
    <t>Jonathan Edwards: One Giant Leap</t>
  </si>
  <si>
    <t>Porridge</t>
  </si>
  <si>
    <t>The Repair Shop: Fixing Britain</t>
  </si>
  <si>
    <t>Botham: The Legend of 81</t>
  </si>
  <si>
    <t>Spike Island</t>
  </si>
  <si>
    <t>Everything - The Real Thing Story</t>
  </si>
  <si>
    <t>Tommy's Honour</t>
  </si>
  <si>
    <t>Almost Never</t>
  </si>
  <si>
    <t>Bob Ross: The Happy Painter</t>
  </si>
  <si>
    <t>How's Your Head, Hun?</t>
  </si>
  <si>
    <t>Final Score</t>
  </si>
  <si>
    <t>Bears About the House</t>
  </si>
  <si>
    <t>Home Is Where the Art Is</t>
  </si>
  <si>
    <t>20th Century Women</t>
  </si>
  <si>
    <t>Ibiza: The Silent Movie</t>
  </si>
  <si>
    <t>The Edge</t>
  </si>
  <si>
    <t>For a Few Dollars More</t>
  </si>
  <si>
    <t>War Horse</t>
  </si>
  <si>
    <t>Mrs Brown's Boys</t>
  </si>
  <si>
    <t>The Shining</t>
  </si>
  <si>
    <t>Dragons' Den</t>
  </si>
  <si>
    <t>Zootropolis</t>
  </si>
  <si>
    <t>QI</t>
  </si>
  <si>
    <t>The Australian Dream</t>
  </si>
  <si>
    <t>Storyville</t>
  </si>
  <si>
    <t>Rise of the Nazis</t>
  </si>
  <si>
    <t>The BFG</t>
  </si>
  <si>
    <t>The Kemps: All True</t>
  </si>
  <si>
    <t>State of the Union</t>
  </si>
  <si>
    <t>The Cry</t>
  </si>
  <si>
    <t>Gospel according to Mica ‚Äì The Story of Gospel Music in Six Songs</t>
  </si>
  <si>
    <t>Row Labels</t>
  </si>
  <si>
    <t>Grand Total</t>
  </si>
  <si>
    <t>(blank)</t>
  </si>
  <si>
    <t>Column Labels</t>
  </si>
  <si>
    <t>Sum of num_clicks</t>
  </si>
  <si>
    <t>clicks</t>
  </si>
  <si>
    <t>uplift</t>
  </si>
  <si>
    <t>Total Sum of num_clicks</t>
  </si>
  <si>
    <t>Total Sum of num_starts</t>
  </si>
  <si>
    <t>Sum of num_starts</t>
  </si>
  <si>
    <t>Total Sum of num_completes</t>
  </si>
  <si>
    <t>Sum of num_completes</t>
  </si>
  <si>
    <t>starts</t>
  </si>
  <si>
    <t>completes</t>
  </si>
  <si>
    <t>Shows</t>
  </si>
  <si>
    <t>total as % of all shows</t>
  </si>
  <si>
    <t>start uplift &gt;0%</t>
  </si>
  <si>
    <t>num shows</t>
  </si>
  <si>
    <t>start uplift &lt;0%</t>
  </si>
  <si>
    <t>start uplift =0%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</si>
</sst>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2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9" fontId="0" fillId="0" borderId="0" xfId="1" applyFont="1"/>
    <xf numFmtId="0" fontId="0" fillId="0" borderId="0" xfId="0" applyAlignment="1">
      <alignment horizontal="center"/>
    </xf>
    <xf numFmtId="0" fontId="0" fillId="0" borderId="0" xfId="0" applyNumberFormat="1"/>
    <xf numFmtId="10" fontId="0" fillId="0" borderId="0" xfId="0" applyNumberFormat="1"/>
    <xf numFmtId="0" fontId="0" fillId="33" borderId="0" xfId="0" applyFill="1" applyAlignment="1">
      <alignment horizontal="center"/>
    </xf>
    <xf numFmtId="0" fontId="0" fillId="33" borderId="0" xfId="0" applyFill="1"/>
    <xf numFmtId="9" fontId="0" fillId="33" borderId="0" xfId="1" applyFont="1" applyFill="1"/>
    <xf numFmtId="0" fontId="0" fillId="34" borderId="0" xfId="0" applyFill="1" applyAlignment="1">
      <alignment horizontal="center"/>
    </xf>
    <xf numFmtId="0" fontId="0" fillId="34" borderId="0" xfId="0" applyFill="1"/>
    <xf numFmtId="9" fontId="0" fillId="34" borderId="0" xfId="1" applyFont="1" applyFill="1"/>
    <xf numFmtId="0" fontId="0" fillId="35" borderId="0" xfId="0" applyFill="1" applyAlignment="1">
      <alignment horizontal="center"/>
    </xf>
    <xf numFmtId="0" fontId="0" fillId="35" borderId="0" xfId="0" applyFill="1"/>
    <xf numFmtId="9" fontId="0" fillId="35" borderId="0" xfId="1" applyFont="1" applyFill="1"/>
    <xf numFmtId="164" fontId="0" fillId="33" borderId="0" xfId="43" applyNumberFormat="1" applyFont="1" applyFill="1"/>
    <xf numFmtId="164" fontId="0" fillId="34" borderId="0" xfId="43" applyNumberFormat="1" applyFont="1" applyFill="1"/>
    <xf numFmtId="164" fontId="0" fillId="35" borderId="0" xfId="43" applyNumberFormat="1" applyFont="1" applyFill="1"/>
    <xf numFmtId="0" fontId="0" fillId="0" borderId="0" xfId="0" applyFill="1"/>
  </cellXfs>
  <cellStyles count="44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43" builtinId="3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 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1">
    <dxf>
      <numFmt numFmtId="164" formatCode="_(* #,##0_);_(* \(#,##0\);_(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[vb_exp_content_consumed.xlsm]Sheet1!PivotTable19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Sheet1!$B$3:$B$4</c:f>
              <c:strCache>
                <c:ptCount val="1"/>
                <c:pt idx="0">
                  <c:v>control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Sheet1!$A$5:$A$25</c:f>
              <c:strCache>
                <c:ptCount val="20"/>
                <c:pt idx="0">
                  <c:v>Celebrity MasterChef</c:v>
                </c:pt>
                <c:pt idx="1">
                  <c:v>The Young Offenders</c:v>
                </c:pt>
                <c:pt idx="2">
                  <c:v>Line of Duty</c:v>
                </c:pt>
                <c:pt idx="3">
                  <c:v>A Suitable Boy</c:v>
                </c:pt>
                <c:pt idx="4">
                  <c:v>The Secrets She Keeps</c:v>
                </c:pt>
                <c:pt idx="5">
                  <c:v>Mrs. America</c:v>
                </c:pt>
                <c:pt idx="6">
                  <c:v>This Country</c:v>
                </c:pt>
                <c:pt idx="7">
                  <c:v>The Rise of the Murdoch Dynasty</c:v>
                </c:pt>
                <c:pt idx="8">
                  <c:v>Once Upon a Time in Iraq</c:v>
                </c:pt>
                <c:pt idx="9">
                  <c:v>Cricket: Today at the Test</c:v>
                </c:pt>
                <c:pt idx="10">
                  <c:v>Canada's Drag Race</c:v>
                </c:pt>
                <c:pt idx="11">
                  <c:v>Anthony</c:v>
                </c:pt>
                <c:pt idx="12">
                  <c:v>I May Destroy You</c:v>
                </c:pt>
                <c:pt idx="13">
                  <c:v>Heroes</c:v>
                </c:pt>
                <c:pt idx="14">
                  <c:v>The Misadventures of Romesh Ranganathan</c:v>
                </c:pt>
                <c:pt idx="15">
                  <c:v>Fort Salem</c:v>
                </c:pt>
                <c:pt idx="16">
                  <c:v>Harlots</c:v>
                </c:pt>
                <c:pt idx="17">
                  <c:v>Killing Eve</c:v>
                </c:pt>
                <c:pt idx="18">
                  <c:v>Match of the Day</c:v>
                </c:pt>
                <c:pt idx="19">
                  <c:v>The Last Wave</c:v>
                </c:pt>
              </c:strCache>
            </c:strRef>
          </c:cat>
          <c:val>
            <c:numRef>
              <c:f>Sheet1!$B$5:$B$25</c:f>
              <c:numCache>
                <c:formatCode>0.00%</c:formatCode>
                <c:ptCount val="20"/>
                <c:pt idx="0">
                  <c:v>3.0607586127832629E-2</c:v>
                </c:pt>
                <c:pt idx="1">
                  <c:v>0.1539771961616824</c:v>
                </c:pt>
                <c:pt idx="2">
                  <c:v>4.4270178621351297E-2</c:v>
                </c:pt>
                <c:pt idx="3">
                  <c:v>0.21209902714618151</c:v>
                </c:pt>
                <c:pt idx="4">
                  <c:v>0.15356287346866535</c:v>
                </c:pt>
                <c:pt idx="5">
                  <c:v>6.5348342809791696E-2</c:v>
                </c:pt>
                <c:pt idx="6">
                  <c:v>6.0338256264619457E-6</c:v>
                </c:pt>
                <c:pt idx="7">
                  <c:v>3.7007463842299933E-4</c:v>
                </c:pt>
                <c:pt idx="8">
                  <c:v>2.009867316174474E-2</c:v>
                </c:pt>
                <c:pt idx="9">
                  <c:v>2.8775314412597019E-2</c:v>
                </c:pt>
                <c:pt idx="10">
                  <c:v>4.8910190528100535E-2</c:v>
                </c:pt>
                <c:pt idx="11">
                  <c:v>4.5026418099867863E-2</c:v>
                </c:pt>
                <c:pt idx="12">
                  <c:v>3.0742341566823612E-2</c:v>
                </c:pt>
                <c:pt idx="13">
                  <c:v>3.3509856254160829E-2</c:v>
                </c:pt>
                <c:pt idx="14">
                  <c:v>1.2791710328099325E-2</c:v>
                </c:pt>
                <c:pt idx="15">
                  <c:v>3.9483343624358153E-2</c:v>
                </c:pt>
                <c:pt idx="16">
                  <c:v>3.4815173864685425E-2</c:v>
                </c:pt>
                <c:pt idx="17">
                  <c:v>6.0338256264619457E-6</c:v>
                </c:pt>
                <c:pt idx="18">
                  <c:v>2.1902787024056864E-2</c:v>
                </c:pt>
                <c:pt idx="19">
                  <c:v>2.3696844510324881E-2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62-CD4A-9E0C-B3F897EF8A45}"/>
            </c:ext>
          </c:extLst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variation_1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Sheet1!$A$5:$A$25</c:f>
              <c:strCache>
                <c:ptCount val="20"/>
                <c:pt idx="0">
                  <c:v>Celebrity MasterChef</c:v>
                </c:pt>
                <c:pt idx="1">
                  <c:v>The Young Offenders</c:v>
                </c:pt>
                <c:pt idx="2">
                  <c:v>Line of Duty</c:v>
                </c:pt>
                <c:pt idx="3">
                  <c:v>A Suitable Boy</c:v>
                </c:pt>
                <c:pt idx="4">
                  <c:v>The Secrets She Keeps</c:v>
                </c:pt>
                <c:pt idx="5">
                  <c:v>Mrs. America</c:v>
                </c:pt>
                <c:pt idx="6">
                  <c:v>This Country</c:v>
                </c:pt>
                <c:pt idx="7">
                  <c:v>The Rise of the Murdoch Dynasty</c:v>
                </c:pt>
                <c:pt idx="8">
                  <c:v>Once Upon a Time in Iraq</c:v>
                </c:pt>
                <c:pt idx="9">
                  <c:v>Cricket: Today at the Test</c:v>
                </c:pt>
                <c:pt idx="10">
                  <c:v>Canada's Drag Race</c:v>
                </c:pt>
                <c:pt idx="11">
                  <c:v>Anthony</c:v>
                </c:pt>
                <c:pt idx="12">
                  <c:v>I May Destroy You</c:v>
                </c:pt>
                <c:pt idx="13">
                  <c:v>Heroes</c:v>
                </c:pt>
                <c:pt idx="14">
                  <c:v>The Misadventures of Romesh Ranganathan</c:v>
                </c:pt>
                <c:pt idx="15">
                  <c:v>Fort Salem</c:v>
                </c:pt>
                <c:pt idx="16">
                  <c:v>Harlots</c:v>
                </c:pt>
                <c:pt idx="17">
                  <c:v>Killing Eve</c:v>
                </c:pt>
                <c:pt idx="18">
                  <c:v>Match of the Day</c:v>
                </c:pt>
                <c:pt idx="19">
                  <c:v>The Last Wave</c:v>
                </c:pt>
              </c:strCache>
            </c:strRef>
          </c:cat>
          <c:val>
            <c:numRef>
              <c:f>Sheet1!$C$5:$C$25</c:f>
              <c:numCache>
                <c:formatCode>0.00%</c:formatCode>
                <c:ptCount val="20"/>
                <c:pt idx="0">
                  <c:v>0.16294711535021503</c:v>
                </c:pt>
                <c:pt idx="1">
                  <c:v>0.11302653892112738</c:v>
                </c:pt>
                <c:pt idx="2">
                  <c:v>0.10818599426146812</c:v>
                </c:pt>
                <c:pt idx="3">
                  <c:v>9.3113403979764878E-2</c:v>
                </c:pt>
                <c:pt idx="4">
                  <c:v>8.5332040613350313E-2</c:v>
                </c:pt>
                <c:pt idx="5">
                  <c:v>6.7751525862747478E-2</c:v>
                </c:pt>
                <c:pt idx="6">
                  <c:v>3.8210966177007234E-2</c:v>
                </c:pt>
                <c:pt idx="7">
                  <c:v>3.7039289624133317E-2</c:v>
                </c:pt>
                <c:pt idx="8">
                  <c:v>3.4865874339031322E-2</c:v>
                </c:pt>
                <c:pt idx="9">
                  <c:v>3.2041328877981064E-2</c:v>
                </c:pt>
                <c:pt idx="10">
                  <c:v>2.9443963450846829E-2</c:v>
                </c:pt>
                <c:pt idx="11">
                  <c:v>2.676431234213671E-2</c:v>
                </c:pt>
                <c:pt idx="12">
                  <c:v>2.563377863005073E-2</c:v>
                </c:pt>
                <c:pt idx="13">
                  <c:v>2.5032735390713882E-2</c:v>
                </c:pt>
                <c:pt idx="14">
                  <c:v>2.4129381712543915E-2</c:v>
                </c:pt>
                <c:pt idx="15">
                  <c:v>2.4129381712543915E-2</c:v>
                </c:pt>
                <c:pt idx="16">
                  <c:v>2.3966599168556851E-2</c:v>
                </c:pt>
                <c:pt idx="17">
                  <c:v>2.1610724328656166E-2</c:v>
                </c:pt>
                <c:pt idx="18">
                  <c:v>1.934786808531952E-2</c:v>
                </c:pt>
                <c:pt idx="19">
                  <c:v>7.4271771718053478E-3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62-CD4A-9E0C-B3F897EF8A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967425184"/>
        <c:axId val="967426864"/>
      </c:barChart>
      <c:catAx>
        <c:axId val="967425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7426864"/>
        <c:crosses val="autoZero"/>
        <c:auto val="1"/>
        <c:lblAlgn val="ctr"/>
        <c:lblOffset val="100"/>
        <c:noMultiLvlLbl val="0"/>
      </c:catAx>
      <c:valAx>
        <c:axId val="967426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7425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[vb_exp_content_consumed.xlsm]vb_exp_content_consumed!PivotTable17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vb_exp_content_consumed!$J$3:$J$4</c:f>
              <c:strCache>
                <c:ptCount val="1"/>
                <c:pt idx="0">
                  <c:v>control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vb_exp_content_consumed!$I$5:$I$23</c:f>
              <c:strCache>
                <c:ptCount val="18"/>
                <c:pt idx="0">
                  <c:v>20200725</c:v>
                </c:pt>
                <c:pt idx="1">
                  <c:v>20200726</c:v>
                </c:pt>
                <c:pt idx="2">
                  <c:v>20200727</c:v>
                </c:pt>
                <c:pt idx="3">
                  <c:v>20200728</c:v>
                </c:pt>
                <c:pt idx="4">
                  <c:v>20200729</c:v>
                </c:pt>
                <c:pt idx="5">
                  <c:v>20200730</c:v>
                </c:pt>
                <c:pt idx="6">
                  <c:v>20200731</c:v>
                </c:pt>
                <c:pt idx="7">
                  <c:v>20200801</c:v>
                </c:pt>
                <c:pt idx="8">
                  <c:v>20200802</c:v>
                </c:pt>
                <c:pt idx="9">
                  <c:v>20200803</c:v>
                </c:pt>
                <c:pt idx="10">
                  <c:v>20200804</c:v>
                </c:pt>
                <c:pt idx="11">
                  <c:v>20200805</c:v>
                </c:pt>
                <c:pt idx="12">
                  <c:v>20200806</c:v>
                </c:pt>
                <c:pt idx="13">
                  <c:v>20200807</c:v>
                </c:pt>
                <c:pt idx="14">
                  <c:v>20200808</c:v>
                </c:pt>
                <c:pt idx="15">
                  <c:v>20200809</c:v>
                </c:pt>
                <c:pt idx="16">
                  <c:v>20200810</c:v>
                </c:pt>
                <c:pt idx="17">
                  <c:v>20200811</c:v>
                </c:pt>
              </c:strCache>
            </c:strRef>
          </c:cat>
          <c:val>
            <c:numRef>
              <c:f>vb_exp_content_consumed!$J$5:$J$23</c:f>
              <c:numCache>
                <c:formatCode>_(* #,##0_);_(* \(#,##0\);_(* "-"??_);_(@_)</c:formatCode>
                <c:ptCount val="18"/>
                <c:pt idx="0">
                  <c:v>6446</c:v>
                </c:pt>
                <c:pt idx="1">
                  <c:v>11839</c:v>
                </c:pt>
                <c:pt idx="2">
                  <c:v>8810</c:v>
                </c:pt>
                <c:pt idx="3">
                  <c:v>7305</c:v>
                </c:pt>
                <c:pt idx="4">
                  <c:v>5758</c:v>
                </c:pt>
                <c:pt idx="5">
                  <c:v>5935</c:v>
                </c:pt>
                <c:pt idx="6">
                  <c:v>2482</c:v>
                </c:pt>
                <c:pt idx="7">
                  <c:v>5958</c:v>
                </c:pt>
                <c:pt idx="8">
                  <c:v>5045</c:v>
                </c:pt>
                <c:pt idx="9">
                  <c:v>4832</c:v>
                </c:pt>
                <c:pt idx="10">
                  <c:v>2834</c:v>
                </c:pt>
                <c:pt idx="11">
                  <c:v>3169</c:v>
                </c:pt>
                <c:pt idx="12">
                  <c:v>2398</c:v>
                </c:pt>
                <c:pt idx="13">
                  <c:v>1198</c:v>
                </c:pt>
                <c:pt idx="14">
                  <c:v>609</c:v>
                </c:pt>
                <c:pt idx="15">
                  <c:v>1349</c:v>
                </c:pt>
                <c:pt idx="16">
                  <c:v>474</c:v>
                </c:pt>
                <c:pt idx="17">
                  <c:v>116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F9-CA45-A3DE-85DD4F788BEE}"/>
            </c:ext>
          </c:extLst>
        </c:ser>
        <c:ser>
          <c:idx val="1"/>
          <c:order val="1"/>
          <c:tx>
            <c:strRef>
              <c:f>vb_exp_content_consumed!$K$3:$K$4</c:f>
              <c:strCache>
                <c:ptCount val="1"/>
                <c:pt idx="0">
                  <c:v>variation_1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vb_exp_content_consumed!$I$5:$I$23</c:f>
              <c:strCache>
                <c:ptCount val="18"/>
                <c:pt idx="0">
                  <c:v>20200725</c:v>
                </c:pt>
                <c:pt idx="1">
                  <c:v>20200726</c:v>
                </c:pt>
                <c:pt idx="2">
                  <c:v>20200727</c:v>
                </c:pt>
                <c:pt idx="3">
                  <c:v>20200728</c:v>
                </c:pt>
                <c:pt idx="4">
                  <c:v>20200729</c:v>
                </c:pt>
                <c:pt idx="5">
                  <c:v>20200730</c:v>
                </c:pt>
                <c:pt idx="6">
                  <c:v>20200731</c:v>
                </c:pt>
                <c:pt idx="7">
                  <c:v>20200801</c:v>
                </c:pt>
                <c:pt idx="8">
                  <c:v>20200802</c:v>
                </c:pt>
                <c:pt idx="9">
                  <c:v>20200803</c:v>
                </c:pt>
                <c:pt idx="10">
                  <c:v>20200804</c:v>
                </c:pt>
                <c:pt idx="11">
                  <c:v>20200805</c:v>
                </c:pt>
                <c:pt idx="12">
                  <c:v>20200806</c:v>
                </c:pt>
                <c:pt idx="13">
                  <c:v>20200807</c:v>
                </c:pt>
                <c:pt idx="14">
                  <c:v>20200808</c:v>
                </c:pt>
                <c:pt idx="15">
                  <c:v>20200809</c:v>
                </c:pt>
                <c:pt idx="16">
                  <c:v>20200810</c:v>
                </c:pt>
                <c:pt idx="17">
                  <c:v>20200811</c:v>
                </c:pt>
              </c:strCache>
            </c:strRef>
          </c:cat>
          <c:val>
            <c:numRef>
              <c:f>vb_exp_content_consumed!$K$5:$K$23</c:f>
              <c:numCache>
                <c:formatCode>_(* #,##0_);_(* \(#,##0\);_(* "-"??_);_(@_)</c:formatCode>
                <c:ptCount val="18"/>
                <c:pt idx="0">
                  <c:v>5887</c:v>
                </c:pt>
                <c:pt idx="1">
                  <c:v>10211</c:v>
                </c:pt>
                <c:pt idx="2">
                  <c:v>5443</c:v>
                </c:pt>
                <c:pt idx="3">
                  <c:v>4753</c:v>
                </c:pt>
                <c:pt idx="4">
                  <c:v>4123</c:v>
                </c:pt>
                <c:pt idx="5">
                  <c:v>4328</c:v>
                </c:pt>
                <c:pt idx="6">
                  <c:v>1972</c:v>
                </c:pt>
                <c:pt idx="7">
                  <c:v>4550</c:v>
                </c:pt>
                <c:pt idx="8">
                  <c:v>3828</c:v>
                </c:pt>
                <c:pt idx="9">
                  <c:v>3289</c:v>
                </c:pt>
                <c:pt idx="10">
                  <c:v>2750</c:v>
                </c:pt>
                <c:pt idx="11">
                  <c:v>2578</c:v>
                </c:pt>
                <c:pt idx="12">
                  <c:v>2255</c:v>
                </c:pt>
                <c:pt idx="13">
                  <c:v>1808</c:v>
                </c:pt>
                <c:pt idx="14">
                  <c:v>1578</c:v>
                </c:pt>
                <c:pt idx="15">
                  <c:v>1985</c:v>
                </c:pt>
                <c:pt idx="16">
                  <c:v>1588</c:v>
                </c:pt>
                <c:pt idx="17">
                  <c:v>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91F9-CA45-A3DE-85DD4F788B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0815648"/>
        <c:axId val="890598416"/>
      </c:lineChart>
      <c:catAx>
        <c:axId val="860815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0598416"/>
        <c:crosses val="autoZero"/>
        <c:auto val="1"/>
        <c:lblAlgn val="ctr"/>
        <c:lblOffset val="100"/>
        <c:noMultiLvlLbl val="0"/>
      </c:catAx>
      <c:valAx>
        <c:axId val="890598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0815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1011767</xdr:colOff>
      <xdr:row>7</xdr:row>
      <xdr:rowOff>55032</xdr:rowOff>
    </xdr:from>
    <xdr:to>
      <xdr:col>12</xdr:col>
      <xdr:colOff>668867</xdr:colOff>
      <xdr:row>23</xdr:row>
      <xdr:rowOff>101599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2543A56-226B-1445-B488-59301C2558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571500</xdr:colOff>
      <xdr:row>28</xdr:row>
      <xdr:rowOff>190501</xdr:rowOff>
    </xdr:from>
    <xdr:to>
      <xdr:col>16</xdr:col>
      <xdr:colOff>304799</xdr:colOff>
      <xdr:row>50</xdr:row>
      <xdr:rowOff>160868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DD3861C-F0E6-2C41-BA5D-5B1223144F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062.637282407406" createdVersion="6" refreshedVersion="6" minRefreshableVersion="3" recordCount="2300" xr:uid="{00000000-000A-0000-FFFF-FFFF89000000}">
  <cacheSource type="worksheet">
    <worksheetSource ref="A1:F2301" sheet="vb_exp_content_consumed"/>
  </cacheSource>
  <cacheFields count="6">
    <cacheField name="dt" numFmtId="0">
      <sharedItems containsSemiMixedTypes="0" containsString="0" containsNumber="1" containsInteger="1" minValue="20200721" maxValue="20200811" count="22">
        <n v="20200721"/>
        <n v="20200723"/>
        <n v="20200724"/>
        <n v="20200725"/>
        <n v="20200726"/>
        <n v="20200727"/>
        <n v="20200728"/>
        <n v="20200729"/>
        <n v="20200730"/>
        <n v="20200731"/>
        <n v="20200801"/>
        <n v="20200802"/>
        <n v="20200803"/>
        <n v="20200805"/>
        <n v="20200806"/>
        <n v="20200807"/>
        <n v="20200808"/>
        <n v="20200809"/>
        <n v="20200810"/>
        <n v="20200811"/>
        <n v="20200722"/>
        <n v="20200804"/>
      </sharedItems>
    </cacheField>
    <cacheField name="show_title" numFmtId="0">
      <sharedItems containsBlank="1" count="168">
        <s v="Celebrity MasterChef"/>
        <s v="Stacey Dooley Investigates"/>
        <s v="Twin"/>
        <s v="Breakfast"/>
        <s v="Jack Whitehall's Sporting Nation"/>
        <s v="Mrs. America"/>
        <s v="The Other One"/>
        <s v="There She Goes"/>
        <s v="Canada's Drag Race"/>
        <s v="Gardeners' World"/>
        <s v="Casualty"/>
        <s v="Dear NHS Superstars"/>
        <s v="EastEnders 2008"/>
        <s v="EastEnders: Iconic Episodes"/>
        <s v="The Young Offenders"/>
        <s v="Murder, Mystery and My Family"/>
        <s v="The Salesman"/>
        <s v="Gavin &amp; Stacey"/>
        <s v="Peter Kay's Comedy Shuffle"/>
        <s v="Dave"/>
        <s v="Glow Up: Britain's Next Make-Up Star"/>
        <s v="Short Term 12"/>
        <s v="The Story of Tracy Beaker"/>
        <s v="BBC Proms"/>
        <s v="Nudes4Sale"/>
        <s v="The FA Cup"/>
        <s v="Anthony"/>
        <s v="DEVS"/>
        <s v="Dangerous Liaisons"/>
        <s v="Radio 1 Dance"/>
        <s v="Fort Salem"/>
        <s v="Harlots"/>
        <s v="Apocalypse Now"/>
        <s v="Cricket: Today at the Test"/>
        <s v="The Mysterious Murder of Nipsey Hussle"/>
        <s v="Squeamish About‚Ä¶"/>
        <s v="Hetty Feather"/>
        <s v="BBC News"/>
        <s v="What We Do in the Shadows"/>
        <s v="The Defiant Ones"/>
        <s v="The Rise of the Murdoch Dynasty"/>
        <s v="EastEnders: Secrets from the Square"/>
        <s v="A Question of Sport"/>
        <s v="Cutting It"/>
        <s v="Football Focus"/>
        <s v="Jamie Johnson"/>
        <s v="Rockfield: The Studio on the Farm"/>
        <s v="This Country"/>
        <m/>
        <s v="Enterprice"/>
        <s v="Frankie Boyle Live: Excited for You to See and Hate This"/>
        <s v="Match of Their Day: Jack Charlton"/>
        <s v="Race Across the World"/>
        <s v="The Graham Norton Show"/>
        <s v="EastEnders"/>
        <s v="Ibiza Dreams"/>
        <s v="The British Academy Television Awards"/>
        <s v="Killing Eve"/>
        <s v="Miranda"/>
        <s v="Hayley Goes..."/>
        <s v="The Vivienne Takes On Hollywood"/>
        <s v="Line of Duty"/>
        <s v="BBC News at One"/>
        <s v="My Family"/>
        <s v="Alan Bennett's Talking Heads"/>
        <s v="Ghosts"/>
        <s v="Dracula"/>
        <s v="Looking for Alaska"/>
        <s v="Some Girls"/>
        <s v="I May Destroy You"/>
        <s v="imagine..."/>
        <s v="The Last Wave"/>
        <s v="Inside Monaco: Playground of the Rich"/>
        <s v="Peter Kay's Car Share"/>
        <s v="The One Show"/>
        <s v="A Suitable Boy"/>
        <s v="The Luminaries"/>
        <s v="Doctor Who"/>
        <s v="Louis Theroux"/>
        <s v="Panorama"/>
        <s v="Surviving the Virus: My Brother &amp; Me"/>
        <s v="Death in Paradise"/>
        <s v="Noughts + Crosses"/>
        <s v="Top Gear"/>
        <s v="Interview with the Vampire"/>
        <s v="Rush"/>
        <s v="The Secrets She Keeps"/>
        <s v="Bad Education"/>
        <s v="Katy Keene"/>
        <s v="Miriam Margolyes - Almost Australian"/>
        <s v="Holby City"/>
        <s v="What We Did on Our Holiday"/>
        <s v="Heartbreak Holiday"/>
        <s v="Once Upon a Time in Iraq"/>
        <s v="BBC News at Ten"/>
        <s v="Louis Theroux's LA Stories"/>
        <s v="Staged"/>
        <s v="The Misadventures of Romesh Ranganathan"/>
        <s v="Snooker: World Championship"/>
        <s v="Snooker: World Championship Highlights"/>
        <s v="The Real McCoy"/>
        <s v="Heroes"/>
        <s v="The Countess and the Russian Billionaire"/>
        <s v="Yung Filly‚Äôs Celeb Lock-In"/>
        <s v="Waterloo Road"/>
        <s v="Our Girl"/>
        <s v="Question Time"/>
        <s v="The Heights"/>
        <s v="The Salisbury Poisonings"/>
        <s v="Match of the Day"/>
        <s v="Models: Street To Catwalk"/>
        <s v="International Cricket"/>
        <s v="Cuba: Castro vs the World"/>
        <s v="CBeebies Little Red Riding Hood"/>
        <s v="Saving Mr Banks"/>
        <s v="Normal People"/>
        <s v="BBC News at Six"/>
        <s v="3:10 to Yuma"/>
        <s v="The Next Step"/>
        <s v="Malory Towers"/>
        <s v="Semi-Detached"/>
        <s v="Mum's List"/>
        <s v="BBC News Special"/>
        <s v="Doctors"/>
        <s v="Total Wipeout: Freddie &amp; Paddy Takeover"/>
        <s v="Amazing Hotels: Life Beyond the Lobby"/>
        <s v="Beethoven‚Äôs Fidelio: the Royal Opera"/>
        <s v="Rodney P's Jazz Funk"/>
        <s v="The First Team"/>
        <s v="The Revenant"/>
        <s v="Spooks"/>
        <s v="Strasbourg 1518"/>
        <s v="Olympics Rewind"/>
        <s v="Peter Crouch: Save Our Summer"/>
        <s v="The Duchess"/>
        <s v="Deep Impact"/>
        <s v="The Blair Witch Project"/>
        <s v="Jonathan Edwards: One Giant Leap"/>
        <s v="Porridge"/>
        <s v="The Repair Shop: Fixing Britain"/>
        <s v="Botham: The Legend of 81"/>
        <s v="Spike Island"/>
        <s v="Everything - The Real Thing Story"/>
        <s v="Tommy's Honour"/>
        <s v="Almost Never"/>
        <s v="Bob Ross: The Happy Painter"/>
        <s v="How's Your Head, Hun?"/>
        <s v="Final Score"/>
        <s v="Bears About the House"/>
        <s v="Home Is Where the Art Is"/>
        <s v="20th Century Women"/>
        <s v="Ibiza: The Silent Movie"/>
        <s v="The Edge"/>
        <s v="For a Few Dollars More"/>
        <s v="War Horse"/>
        <s v="Mrs Brown's Boys"/>
        <s v="The Shining"/>
        <s v="Dragons' Den"/>
        <s v="Zootropolis"/>
        <s v="QI"/>
        <s v="The Australian Dream"/>
        <s v="Storyville"/>
        <s v="Rise of the Nazis"/>
        <s v="The BFG"/>
        <s v="The Kemps: All True"/>
        <s v="State of the Union"/>
        <s v="The Cry"/>
        <s v="Gospel according to Mica ‚Äì The Story of Gospel Music in Six Songs"/>
      </sharedItems>
    </cacheField>
    <cacheField name="exp_group" numFmtId="0">
      <sharedItems count="2">
        <s v="control"/>
        <s v="variation_1"/>
      </sharedItems>
    </cacheField>
    <cacheField name="num_clicks" numFmtId="0">
      <sharedItems containsSemiMixedTypes="0" containsString="0" containsNumber="1" containsInteger="1" minValue="1" maxValue="30795" count="1171">
        <n v="327"/>
        <n v="1"/>
        <n v="12065"/>
        <n v="1191"/>
        <n v="3177"/>
        <n v="509"/>
        <n v="39"/>
        <n v="1465"/>
        <n v="3"/>
        <n v="54"/>
        <n v="8"/>
        <n v="137"/>
        <n v="799"/>
        <n v="2205"/>
        <n v="4753"/>
        <n v="12"/>
        <n v="503"/>
        <n v="35"/>
        <n v="2781"/>
        <n v="303"/>
        <n v="2"/>
        <n v="117"/>
        <n v="69"/>
        <n v="27"/>
        <n v="47"/>
        <n v="38"/>
        <n v="2920"/>
        <n v="542"/>
        <n v="222"/>
        <n v="2036"/>
        <n v="10"/>
        <n v="1407"/>
        <n v="999"/>
        <n v="5011"/>
        <n v="152"/>
        <n v="2623"/>
        <n v="25"/>
        <n v="1806"/>
        <n v="29"/>
        <n v="43"/>
        <n v="90"/>
        <n v="742"/>
        <n v="157"/>
        <n v="4089"/>
        <n v="520"/>
        <n v="116"/>
        <n v="45"/>
        <n v="1291"/>
        <n v="1422"/>
        <n v="20255"/>
        <n v="5"/>
        <n v="238"/>
        <n v="393"/>
        <n v="438"/>
        <n v="31"/>
        <n v="16"/>
        <n v="1679"/>
        <n v="143"/>
        <n v="554"/>
        <n v="6"/>
        <n v="801"/>
        <n v="24"/>
        <n v="18"/>
        <n v="5220"/>
        <n v="362"/>
        <n v="793"/>
        <n v="1414"/>
        <n v="605"/>
        <n v="114"/>
        <n v="160"/>
        <n v="36"/>
        <n v="379"/>
        <n v="314"/>
        <n v="57"/>
        <n v="1569"/>
        <n v="1061"/>
        <n v="516"/>
        <n v="101"/>
        <n v="110"/>
        <n v="743"/>
        <n v="293"/>
        <n v="440"/>
        <n v="56"/>
        <n v="284"/>
        <n v="606"/>
        <n v="429"/>
        <n v="531"/>
        <n v="546"/>
        <n v="12230"/>
        <n v="202"/>
        <n v="2316"/>
        <n v="163"/>
        <n v="2135"/>
        <n v="4"/>
        <n v="925"/>
        <n v="1211"/>
        <n v="177"/>
        <n v="1636"/>
        <n v="922"/>
        <n v="728"/>
        <n v="4104"/>
        <n v="129"/>
        <n v="253"/>
        <n v="2219"/>
        <n v="851"/>
        <n v="2161"/>
        <n v="620"/>
        <n v="3090"/>
        <n v="53"/>
        <n v="462"/>
        <n v="228"/>
        <n v="502"/>
        <n v="67"/>
        <n v="7536"/>
        <n v="96"/>
        <n v="9985"/>
        <n v="277"/>
        <n v="1920"/>
        <n v="2082"/>
        <n v="441"/>
        <n v="16016"/>
        <n v="209"/>
        <n v="210"/>
        <n v="338"/>
        <n v="61"/>
        <n v="759"/>
        <n v="1931"/>
        <n v="680"/>
        <n v="12594"/>
        <n v="523"/>
        <n v="241"/>
        <n v="890"/>
        <n v="4881"/>
        <n v="361"/>
        <n v="490"/>
        <n v="9"/>
        <n v="1254"/>
        <n v="1808"/>
        <n v="1008"/>
        <n v="609"/>
        <n v="674"/>
        <n v="665"/>
        <n v="2896"/>
        <n v="13630"/>
        <n v="1392"/>
        <n v="1942"/>
        <n v="1579"/>
        <n v="20"/>
        <n v="1459"/>
        <n v="2139"/>
        <n v="564"/>
        <n v="7727"/>
        <n v="7605"/>
        <n v="64"/>
        <n v="2389"/>
        <n v="1796"/>
        <n v="1708"/>
        <n v="1495"/>
        <n v="1371"/>
        <n v="593"/>
        <n v="325"/>
        <n v="242"/>
        <n v="634"/>
        <n v="329"/>
        <n v="13"/>
        <n v="72"/>
        <n v="1360"/>
        <n v="2189"/>
        <n v="86"/>
        <n v="1232"/>
        <n v="2340"/>
        <n v="689"/>
        <n v="310"/>
        <n v="552"/>
        <n v="711"/>
        <n v="9948"/>
        <n v="763"/>
        <n v="846"/>
        <n v="433"/>
        <n v="377"/>
        <n v="15"/>
        <n v="164"/>
        <n v="530"/>
        <n v="268"/>
        <n v="580"/>
        <n v="1442"/>
        <n v="15825"/>
        <n v="754"/>
        <n v="9313"/>
        <n v="2012"/>
        <n v="1121"/>
        <n v="142"/>
        <n v="1733"/>
        <n v="543"/>
        <n v="559"/>
        <n v="46"/>
        <n v="2020"/>
        <n v="367"/>
        <n v="21"/>
        <n v="13771"/>
        <n v="28"/>
        <n v="85"/>
        <n v="1454"/>
        <n v="181"/>
        <n v="286"/>
        <n v="1057"/>
        <n v="640"/>
        <n v="1578"/>
        <n v="1117"/>
        <n v="1138"/>
        <n v="792"/>
        <n v="861"/>
        <n v="823"/>
        <n v="292"/>
        <n v="1627"/>
        <n v="622"/>
        <n v="158"/>
        <n v="50"/>
        <n v="791"/>
        <n v="80"/>
        <n v="330"/>
        <n v="11797"/>
        <n v="156"/>
        <n v="1692"/>
        <n v="675"/>
        <n v="447"/>
        <n v="118"/>
        <n v="1144"/>
        <n v="9194"/>
        <n v="1897"/>
        <n v="567"/>
        <n v="1372"/>
        <n v="274"/>
        <n v="958"/>
        <n v="180"/>
        <n v="3828"/>
        <n v="573"/>
        <n v="167"/>
        <n v="2112"/>
        <n v="269"/>
        <n v="896"/>
        <n v="48"/>
        <n v="11262"/>
        <n v="71"/>
        <n v="1785"/>
        <n v="471"/>
        <n v="22"/>
        <n v="645"/>
        <n v="173"/>
        <n v="136"/>
        <n v="672"/>
        <n v="12355"/>
        <n v="1140"/>
        <n v="390"/>
        <n v="626"/>
        <n v="1452"/>
        <n v="201"/>
        <n v="2740"/>
        <n v="710"/>
        <n v="102"/>
        <n v="882"/>
        <n v="11199"/>
        <n v="58"/>
        <n v="14"/>
        <n v="182"/>
        <n v="1943"/>
        <n v="283"/>
        <n v="106"/>
        <n v="631"/>
        <n v="79"/>
        <n v="1998"/>
        <n v="652"/>
        <n v="44"/>
        <n v="1157"/>
        <n v="1275"/>
        <n v="2042"/>
        <n v="1496"/>
        <n v="1076"/>
        <n v="4690"/>
        <n v="1050"/>
        <n v="186"/>
        <n v="230"/>
        <n v="414"/>
        <n v="3610"/>
        <n v="7"/>
        <n v="6173"/>
        <n v="6446"/>
        <n v="2610"/>
        <n v="123"/>
        <n v="505"/>
        <n v="1184"/>
        <n v="651"/>
        <n v="9274"/>
        <n v="99"/>
        <n v="107"/>
        <n v="219"/>
        <n v="17110"/>
        <n v="334"/>
        <n v="265"/>
        <n v="1660"/>
        <n v="729"/>
        <n v="1331"/>
        <n v="75"/>
        <n v="3289"/>
        <n v="95"/>
        <n v="946"/>
        <n v="1823"/>
        <n v="3554"/>
        <n v="761"/>
        <n v="10034"/>
        <n v="33"/>
        <n v="311"/>
        <n v="413"/>
        <n v="73"/>
        <n v="11"/>
        <n v="4704"/>
        <n v="482"/>
        <n v="10990"/>
        <n v="726"/>
        <n v="568"/>
        <n v="676"/>
        <n v="93"/>
        <n v="4722"/>
        <n v="2788"/>
        <n v="30"/>
        <n v="9936"/>
        <n v="62"/>
        <n v="1022"/>
        <n v="2296"/>
        <n v="11089"/>
        <n v="8490"/>
        <n v="34"/>
        <n v="63"/>
        <n v="218"/>
        <n v="103"/>
        <n v="98"/>
        <n v="364"/>
        <n v="650"/>
        <n v="488"/>
        <n v="470"/>
        <n v="2224"/>
        <n v="1284"/>
        <n v="1591"/>
        <n v="264"/>
        <n v="84"/>
        <n v="2408"/>
        <n v="7905"/>
        <n v="59"/>
        <n v="677"/>
        <n v="184"/>
        <n v="690"/>
        <n v="506"/>
        <n v="6124"/>
        <n v="220"/>
        <n v="1174"/>
        <n v="9337"/>
        <n v="1053"/>
        <n v="4328"/>
        <n v="1651"/>
        <n v="5885"/>
        <n v="513"/>
        <n v="902"/>
        <n v="526"/>
        <n v="82"/>
        <n v="233"/>
        <n v="1123"/>
        <n v="70"/>
        <n v="1264"/>
        <n v="434"/>
        <n v="909"/>
        <n v="12031"/>
        <n v="3467"/>
        <n v="313"/>
        <n v="37"/>
        <n v="2462"/>
        <n v="685"/>
        <n v="659"/>
        <n v="1842"/>
        <n v="2167"/>
        <n v="699"/>
        <n v="493"/>
        <n v="349"/>
        <n v="333"/>
        <n v="78"/>
        <n v="1165"/>
        <n v="68"/>
        <n v="637"/>
        <n v="625"/>
        <n v="155"/>
        <n v="341"/>
        <n v="375"/>
        <n v="11698"/>
        <n v="698"/>
        <n v="723"/>
        <n v="32"/>
        <n v="802"/>
        <n v="92"/>
        <n v="8222"/>
        <n v="3585"/>
        <n v="108"/>
        <n v="1472"/>
        <n v="51"/>
        <n v="1935"/>
        <n v="5117"/>
        <n v="1114"/>
        <n v="994"/>
        <n v="19"/>
        <n v="610"/>
        <n v="1546"/>
        <n v="66"/>
        <n v="1032"/>
        <n v="1067"/>
        <n v="87"/>
        <n v="987"/>
        <n v="1047"/>
        <n v="109"/>
        <n v="77"/>
        <n v="1433"/>
        <n v="1317"/>
        <n v="1310"/>
        <n v="10522"/>
        <n v="472"/>
        <n v="17"/>
        <n v="178"/>
        <n v="205"/>
        <n v="1368"/>
        <n v="271"/>
        <n v="892"/>
        <n v="4123"/>
        <n v="41"/>
        <n v="1482"/>
        <n v="195"/>
        <n v="1936"/>
        <n v="1415"/>
        <n v="2545"/>
        <n v="272"/>
        <n v="174"/>
        <n v="834"/>
        <n v="175"/>
        <n v="190"/>
        <n v="2834"/>
        <n v="12540"/>
        <n v="1190"/>
        <n v="239"/>
        <n v="420"/>
        <n v="648"/>
        <n v="2034"/>
        <n v="524"/>
        <n v="11792"/>
        <n v="5887"/>
        <n v="236"/>
        <n v="52"/>
        <n v="6661"/>
        <n v="12026"/>
        <n v="2013"/>
        <n v="359"/>
        <n v="4368"/>
        <n v="60"/>
        <n v="2482"/>
        <n v="528"/>
        <n v="1213"/>
        <n v="421"/>
        <n v="1077"/>
        <n v="192"/>
        <n v="795"/>
        <n v="760"/>
        <n v="262"/>
        <n v="459"/>
        <n v="839"/>
        <n v="912"/>
        <n v="2295"/>
        <n v="320"/>
        <n v="518"/>
        <n v="1049"/>
        <n v="407"/>
        <n v="145"/>
        <n v="22829"/>
        <n v="2570"/>
        <n v="1160"/>
        <n v="302"/>
        <n v="255"/>
        <n v="1852"/>
        <n v="2080"/>
        <n v="132"/>
        <n v="8810"/>
        <n v="533"/>
        <n v="381"/>
        <n v="977"/>
        <n v="998"/>
        <n v="5890"/>
        <n v="104"/>
        <n v="4550"/>
        <n v="876"/>
        <n v="875"/>
        <n v="2637"/>
        <n v="951"/>
        <n v="1595"/>
        <n v="371"/>
        <n v="278"/>
        <n v="583"/>
        <n v="1908"/>
        <n v="1670"/>
        <n v="294"/>
        <n v="5271"/>
        <n v="40"/>
        <n v="2499"/>
        <n v="382"/>
        <n v="301"/>
        <n v="566"/>
        <n v="756"/>
        <n v="384"/>
        <n v="576"/>
        <n v="798"/>
        <n v="6758"/>
        <n v="6070"/>
        <n v="97"/>
        <n v="134"/>
        <n v="417"/>
        <n v="1594"/>
        <n v="1020"/>
        <n v="13491"/>
        <n v="2234"/>
        <n v="276"/>
        <n v="23"/>
        <n v="1617"/>
        <n v="773"/>
        <n v="1727"/>
        <n v="267"/>
        <n v="707"/>
        <n v="527"/>
        <n v="805"/>
        <n v="12102"/>
        <n v="240"/>
        <n v="1147"/>
        <n v="604"/>
        <n v="3582"/>
        <n v="347"/>
        <n v="7940"/>
        <n v="315"/>
        <n v="952"/>
        <n v="1972"/>
        <n v="74"/>
        <n v="477"/>
        <n v="974"/>
        <n v="1932"/>
        <n v="324"/>
        <n v="427"/>
        <n v="3169"/>
        <n v="1767"/>
        <n v="1783"/>
        <n v="7814"/>
        <n v="804"/>
        <n v="290"/>
        <n v="550"/>
        <n v="282"/>
        <n v="1238"/>
        <n v="127"/>
        <n v="11897"/>
        <n v="647"/>
        <n v="539"/>
        <n v="14536"/>
        <n v="2025"/>
        <n v="419"/>
        <n v="1592"/>
        <n v="1797"/>
        <n v="809"/>
        <n v="11657"/>
        <n v="525"/>
        <n v="2578"/>
        <n v="1581"/>
        <n v="298"/>
        <n v="237"/>
        <n v="2719"/>
        <n v="854"/>
        <n v="337"/>
        <n v="270"/>
        <n v="460"/>
        <n v="1159"/>
        <n v="11168"/>
        <n v="1768"/>
        <n v="12050"/>
        <n v="343"/>
        <n v="10211"/>
        <n v="1963"/>
        <n v="1301"/>
        <n v="601"/>
        <n v="193"/>
        <n v="992"/>
        <n v="12239"/>
        <n v="26"/>
        <n v="508"/>
        <n v="187"/>
        <n v="1227"/>
        <n v="1380"/>
        <n v="11709"/>
        <n v="603"/>
        <n v="452"/>
        <n v="1900"/>
        <n v="832"/>
        <n v="824"/>
        <n v="642"/>
        <n v="1349"/>
        <n v="197"/>
        <n v="1370"/>
        <n v="100"/>
        <n v="7906"/>
        <n v="370"/>
        <n v="590"/>
        <n v="1517"/>
        <n v="2058"/>
        <n v="1509"/>
        <n v="2174"/>
        <n v="331"/>
        <n v="1078"/>
        <n v="383"/>
        <n v="13473"/>
        <n v="133"/>
        <n v="154"/>
        <n v="1195"/>
        <n v="514"/>
        <n v="16929"/>
        <n v="512"/>
        <n v="2609"/>
        <n v="465"/>
        <n v="10399"/>
        <n v="1725"/>
        <n v="148"/>
        <n v="7171"/>
        <n v="120"/>
        <n v="11413"/>
        <n v="868"/>
        <n v="11839"/>
        <n v="15738"/>
        <n v="961"/>
        <n v="553"/>
        <n v="1542"/>
        <n v="2393"/>
        <n v="335"/>
        <n v="848"/>
        <n v="1007"/>
        <n v="1186"/>
        <n v="692"/>
        <n v="188"/>
        <n v="403"/>
        <n v="1718"/>
        <n v="4493"/>
        <n v="769"/>
        <n v="249"/>
        <n v="748"/>
        <n v="223"/>
        <n v="340"/>
        <n v="785"/>
        <n v="199"/>
        <n v="1547"/>
        <n v="478"/>
        <n v="474"/>
        <n v="819"/>
        <n v="30795"/>
        <n v="841"/>
        <n v="3191"/>
        <n v="227"/>
        <n v="1944"/>
        <n v="910"/>
        <n v="993"/>
        <n v="42"/>
        <n v="646"/>
        <n v="150"/>
        <n v="4642"/>
        <n v="2170"/>
        <n v="1711"/>
        <n v="2759"/>
        <n v="1169"/>
        <n v="581"/>
        <n v="461"/>
        <n v="273"/>
        <n v="398"/>
        <n v="1017"/>
        <n v="141"/>
        <n v="10681"/>
        <n v="7229"/>
        <n v="235"/>
        <n v="12442"/>
        <n v="289"/>
        <n v="279"/>
        <n v="679"/>
        <n v="11178"/>
        <n v="211"/>
        <n v="258"/>
        <n v="658"/>
        <n v="1985"/>
        <n v="1353"/>
        <n v="986"/>
        <n v="1862"/>
        <n v="3873"/>
        <n v="627"/>
        <n v="244"/>
        <n v="11442"/>
        <n v="510"/>
        <n v="2220"/>
        <n v="1564"/>
        <n v="913"/>
        <n v="2188"/>
        <n v="399"/>
        <n v="2164"/>
        <n v="1657"/>
        <n v="614"/>
        <n v="1618"/>
        <n v="1182"/>
        <n v="448"/>
        <n v="2356"/>
        <n v="1307"/>
        <n v="779"/>
        <n v="934"/>
        <n v="2043"/>
        <n v="3591"/>
        <n v="131"/>
        <n v="11216"/>
        <n v="1029"/>
        <n v="557"/>
        <n v="914"/>
        <n v="3749"/>
        <n v="13969"/>
        <n v="5443"/>
        <n v="931"/>
        <n v="119"/>
        <n v="1143"/>
        <n v="725"/>
        <n v="308"/>
        <n v="9428"/>
        <n v="8304"/>
        <n v="1130"/>
        <n v="1382"/>
        <n v="356"/>
        <n v="615"/>
        <n v="124"/>
        <n v="4075"/>
        <n v="12267"/>
        <n v="722"/>
        <n v="2236"/>
        <n v="929"/>
        <n v="153"/>
        <n v="3994"/>
        <n v="139"/>
        <n v="578"/>
        <n v="1988"/>
        <n v="596"/>
        <n v="1395"/>
        <n v="2047"/>
        <n v="4715"/>
        <n v="424"/>
        <n v="1550"/>
        <n v="1571"/>
        <n v="11997"/>
        <n v="5935"/>
        <n v="5958"/>
        <n v="1321"/>
        <n v="1791"/>
        <n v="13100"/>
        <n v="354"/>
        <n v="1249"/>
        <n v="358"/>
        <n v="11373"/>
        <n v="316"/>
        <n v="159"/>
        <n v="556"/>
        <n v="906"/>
        <n v="1608"/>
        <n v="686"/>
        <n v="27994"/>
        <n v="1853"/>
        <n v="1369"/>
        <n v="11508"/>
        <n v="735"/>
        <n v="8579"/>
        <n v="592"/>
        <n v="224"/>
        <n v="1548"/>
        <n v="386"/>
        <n v="8673"/>
        <n v="55"/>
        <n v="1300"/>
        <n v="713"/>
        <n v="862"/>
        <n v="135"/>
        <n v="8763"/>
        <n v="3469"/>
        <n v="937"/>
        <n v="130"/>
        <n v="3541"/>
        <n v="541"/>
        <n v="13789"/>
        <n v="2904"/>
        <n v="226"/>
        <n v="6410"/>
        <n v="1489"/>
        <n v="766"/>
        <n v="1376"/>
        <n v="3270"/>
        <n v="1364"/>
        <n v="344"/>
        <n v="898"/>
        <n v="695"/>
        <n v="1930"/>
        <n v="449"/>
        <n v="4546"/>
        <n v="2628"/>
        <n v="3094"/>
        <n v="213"/>
        <n v="2525"/>
        <n v="221"/>
        <n v="21593"/>
        <n v="2348"/>
        <n v="899"/>
        <n v="307"/>
        <n v="738"/>
        <n v="1166"/>
        <n v="1864"/>
        <n v="5878"/>
        <n v="1285"/>
        <n v="1677"/>
        <n v="12215"/>
        <n v="396"/>
        <n v="1588"/>
        <n v="1097"/>
        <n v="89"/>
        <n v="8343"/>
        <n v="920"/>
        <n v="889"/>
        <n v="4981"/>
        <n v="5268"/>
        <n v="83"/>
        <n v="352"/>
        <n v="2372"/>
        <n v="295"/>
        <n v="1293"/>
        <n v="355"/>
        <n v="401"/>
        <n v="701"/>
        <n v="837"/>
        <n v="522"/>
        <n v="1237"/>
        <n v="923"/>
        <n v="12400"/>
        <n v="1111"/>
        <n v="629"/>
        <n v="425"/>
        <n v="560"/>
        <n v="229"/>
        <n v="3768"/>
        <n v="962"/>
        <n v="21447"/>
        <n v="770"/>
        <n v="691"/>
        <n v="12371"/>
        <n v="5069"/>
        <n v="12354"/>
        <n v="15778"/>
        <n v="453"/>
        <n v="2241"/>
        <n v="864"/>
        <n v="457"/>
        <n v="1643"/>
        <n v="1552"/>
        <n v="585"/>
        <n v="1450"/>
        <n v="339"/>
        <n v="1110"/>
        <n v="796"/>
        <n v="10798"/>
        <n v="1775"/>
        <n v="426"/>
        <n v="577"/>
        <n v="687"/>
        <n v="1409"/>
        <n v="319"/>
        <n v="1761"/>
        <n v="1345"/>
        <n v="1945"/>
        <n v="11946"/>
        <n v="115"/>
        <n v="7420"/>
        <n v="345"/>
        <n v="10341"/>
        <n v="179"/>
        <n v="2605"/>
        <n v="1064"/>
        <n v="717"/>
        <n v="436"/>
        <n v="1133"/>
        <n v="2411"/>
        <n v="1656"/>
        <n v="1373"/>
        <n v="653"/>
        <n v="975"/>
        <n v="432"/>
        <n v="17358"/>
        <n v="4832"/>
        <n v="13142"/>
        <n v="2401"/>
        <n v="597"/>
        <n v="1225"/>
        <n v="3178"/>
        <n v="570"/>
        <n v="169"/>
        <n v="332"/>
        <n v="5213"/>
        <n v="1315"/>
        <n v="4474"/>
        <n v="495"/>
        <n v="3109"/>
        <n v="259"/>
        <n v="121"/>
        <n v="1295"/>
        <n v="252"/>
        <n v="88"/>
        <n v="511"/>
        <n v="732"/>
        <n v="1688"/>
        <n v="537"/>
        <n v="3647"/>
        <n v="926"/>
        <n v="1198"/>
        <n v="1501"/>
        <n v="662"/>
        <n v="3607"/>
        <n v="1207"/>
        <n v="10817"/>
        <n v="1103"/>
        <n v="322"/>
        <n v="2007"/>
        <n v="746"/>
        <n v="126"/>
        <n v="1962"/>
        <n v="285"/>
        <n v="3483"/>
        <n v="12549"/>
        <n v="1919"/>
        <n v="850"/>
        <n v="1058"/>
        <n v="416"/>
        <n v="3118"/>
        <n v="693"/>
        <n v="306"/>
        <n v="234"/>
        <n v="5110"/>
        <n v="2749"/>
        <n v="7985"/>
        <n v="4480"/>
        <n v="1541"/>
        <n v="12041"/>
        <n v="1518"/>
        <n v="300"/>
        <n v="144"/>
        <n v="704"/>
        <n v="916"/>
        <n v="1271"/>
        <n v="1469"/>
        <n v="1104"/>
        <n v="125"/>
        <n v="431"/>
        <n v="671"/>
        <n v="907"/>
        <n v="3232"/>
        <n v="1597"/>
        <n v="2891"/>
        <n v="1426"/>
        <n v="982"/>
        <n v="1577"/>
        <n v="6145"/>
        <n v="715"/>
        <n v="232"/>
        <n v="402"/>
        <n v="2582"/>
        <n v="5437"/>
        <n v="887"/>
        <n v="94"/>
        <n v="2509"/>
        <n v="7065"/>
        <n v="1036"/>
        <n v="11371"/>
        <n v="49"/>
        <n v="702"/>
        <n v="745"/>
        <n v="4136"/>
        <n v="11355"/>
        <n v="7305"/>
        <n v="208"/>
        <n v="800"/>
        <n v="1398"/>
        <n v="3112"/>
        <n v="1645"/>
        <n v="451"/>
        <n v="1303"/>
        <n v="287"/>
        <n v="803"/>
        <n v="1083"/>
        <n v="395"/>
        <n v="1739"/>
        <n v="389"/>
        <n v="10305"/>
        <n v="8154"/>
        <n v="2274"/>
        <n v="1109"/>
        <n v="6755"/>
        <n v="12097"/>
        <n v="1728"/>
        <n v="14136"/>
        <n v="1833"/>
        <n v="2388"/>
        <n v="397"/>
        <n v="296"/>
        <n v="1500"/>
        <n v="2127"/>
        <n v="12418"/>
        <n v="3826"/>
        <n v="1139"/>
        <n v="2255"/>
        <n v="231"/>
        <n v="140"/>
        <n v="2620"/>
        <n v="11520"/>
        <n v="7722"/>
        <n v="5296"/>
        <n v="368"/>
        <n v="261"/>
        <n v="445"/>
        <n v="1384"/>
        <n v="538"/>
        <n v="3043"/>
        <n v="1969"/>
        <n v="443"/>
        <n v="17634"/>
        <n v="721"/>
        <n v="681"/>
        <n v="212"/>
        <n v="535"/>
        <n v="664"/>
        <n v="5045"/>
        <n v="501"/>
        <n v="13022"/>
        <n v="4979"/>
        <n v="548"/>
        <n v="11330"/>
        <n v="670"/>
        <n v="304"/>
        <n v="6594"/>
        <n v="365"/>
        <n v="9115"/>
        <n v="317"/>
        <n v="2276"/>
        <n v="1480"/>
        <n v="612"/>
        <n v="7600"/>
        <n v="900"/>
        <n v="14366"/>
        <n v="2750"/>
        <n v="215"/>
        <n v="598"/>
        <n v="476"/>
        <n v="469"/>
        <n v="12687"/>
        <n v="185"/>
        <n v="360"/>
        <n v="811"/>
        <n v="2115"/>
        <n v="112"/>
        <n v="28097"/>
        <n v="2626"/>
        <n v="189"/>
        <n v="5758"/>
        <n v="8863"/>
        <n v="1119"/>
        <n v="13306"/>
        <n v="1269"/>
        <n v="571"/>
        <n v="644"/>
        <n v="12402"/>
        <n v="13392"/>
        <n v="1402"/>
        <n v="1131"/>
        <n v="2398"/>
        <n v="3668"/>
        <n v="1375"/>
        <n v="2354"/>
        <n v="816"/>
        <n v="1236"/>
        <n v="15353"/>
        <n v="4660"/>
        <n v="1333"/>
        <n v="635"/>
        <n v="468"/>
        <n v="435"/>
        <n v="1290"/>
        <n v="2062"/>
        <n v="263"/>
        <n v="2514"/>
        <n v="1994"/>
        <n v="1706"/>
        <n v="639"/>
        <n v="475"/>
        <n v="2818"/>
        <n v="8055"/>
        <n v="1150"/>
        <n v="17016"/>
        <n v="3133"/>
        <n v="2063"/>
        <n v="11691"/>
        <n v="484"/>
        <n v="7574"/>
        <n v="491"/>
        <n v="584"/>
        <n v="380"/>
        <n v="1721"/>
        <n v="428"/>
        <n v="65"/>
        <n v="757"/>
        <n v="783"/>
        <n v="741"/>
        <n v="1576"/>
        <n v="4000"/>
        <n v="1172"/>
        <n v="569"/>
        <n v="1073"/>
        <n v="3855"/>
        <n v="207"/>
        <n v="21577"/>
        <n v="247"/>
        <n v="536"/>
        <n v="1652"/>
        <n v="378"/>
        <n v="997"/>
        <n v="11479"/>
        <n v="1805"/>
        <n v="12353"/>
        <n v="2003"/>
        <n v="1516"/>
        <n v="11944"/>
        <n v="1625"/>
        <n v="12104"/>
        <n v="410"/>
        <n v="2314"/>
        <n v="1218"/>
        <n v="486"/>
        <n v="216"/>
        <n v="1028"/>
        <n v="1695"/>
        <n v="860"/>
        <n v="3491"/>
        <n v="348"/>
        <n v="105"/>
        <n v="162"/>
        <n v="1276"/>
        <n v="2752"/>
        <n v="1891"/>
        <n v="369"/>
        <n v="561"/>
        <n v="7349"/>
        <n v="613"/>
        <n v="372"/>
        <n v="113"/>
        <n v="76"/>
        <n v="1405"/>
        <n v="1071"/>
        <n v="948"/>
        <n v="1318"/>
        <n v="1316"/>
        <n v="496"/>
        <n v="456"/>
        <n v="8609"/>
        <n v="1570"/>
        <n v="138"/>
      </sharedItems>
    </cacheField>
    <cacheField name="num_starts" numFmtId="0">
      <sharedItems containsSemiMixedTypes="0" containsString="0" containsNumber="1" containsInteger="1" minValue="0" maxValue="28097" count="885">
        <n v="153"/>
        <n v="1"/>
        <n v="4"/>
        <n v="337"/>
        <n v="3177"/>
        <n v="509"/>
        <n v="39"/>
        <n v="1465"/>
        <n v="46"/>
        <n v="5"/>
        <n v="79"/>
        <n v="423"/>
        <n v="78"/>
        <n v="4753"/>
        <n v="12"/>
        <n v="321"/>
        <n v="35"/>
        <n v="2781"/>
        <n v="303"/>
        <n v="2"/>
        <n v="117"/>
        <n v="69"/>
        <n v="16"/>
        <n v="47"/>
        <n v="28"/>
        <n v="3"/>
        <n v="2484"/>
        <n v="418"/>
        <n v="222"/>
        <n v="1455"/>
        <n v="7"/>
        <n v="1407"/>
        <n v="999"/>
        <n v="5011"/>
        <n v="118"/>
        <n v="1567"/>
        <n v="25"/>
        <n v="6"/>
        <n v="29"/>
        <n v="90"/>
        <n v="742"/>
        <n v="96"/>
        <n v="4089"/>
        <n v="8"/>
        <n v="0"/>
        <n v="116"/>
        <n v="33"/>
        <n v="1291"/>
        <n v="1422"/>
        <n v="24"/>
        <n v="393"/>
        <n v="438"/>
        <n v="22"/>
        <n v="13"/>
        <n v="1679"/>
        <n v="143"/>
        <n v="385"/>
        <n v="801"/>
        <n v="5220"/>
        <n v="362"/>
        <n v="793"/>
        <n v="1414"/>
        <n v="114"/>
        <n v="75"/>
        <n v="36"/>
        <n v="379"/>
        <n v="314"/>
        <n v="57"/>
        <n v="1061"/>
        <n v="389"/>
        <n v="645"/>
        <n v="293"/>
        <n v="440"/>
        <n v="56"/>
        <n v="284"/>
        <n v="505"/>
        <n v="429"/>
        <n v="83"/>
        <n v="2316"/>
        <n v="163"/>
        <n v="1561"/>
        <n v="925"/>
        <n v="27"/>
        <n v="177"/>
        <n v="1265"/>
        <n v="10"/>
        <n v="728"/>
        <n v="606"/>
        <n v="129"/>
        <n v="253"/>
        <n v="2219"/>
        <n v="851"/>
        <n v="593"/>
        <n v="38"/>
        <n v="3090"/>
        <n v="53"/>
        <n v="462"/>
        <n v="168"/>
        <n v="353"/>
        <n v="67"/>
        <n v="7536"/>
        <n v="4386"/>
        <n v="1191"/>
        <n v="277"/>
        <n v="408"/>
        <n v="351"/>
        <n v="209"/>
        <n v="210"/>
        <n v="338"/>
        <n v="61"/>
        <n v="2135"/>
        <n v="759"/>
        <n v="1456"/>
        <n v="680"/>
        <n v="523"/>
        <n v="241"/>
        <n v="890"/>
        <n v="4881"/>
        <n v="361"/>
        <n v="1254"/>
        <n v="1808"/>
        <n v="1008"/>
        <n v="609"/>
        <n v="45"/>
        <n v="674"/>
        <n v="665"/>
        <n v="1419"/>
        <n v="17"/>
        <n v="9"/>
        <n v="637"/>
        <n v="20"/>
        <n v="1459"/>
        <n v="439"/>
        <n v="64"/>
        <n v="1341"/>
        <n v="286"/>
        <n v="1371"/>
        <n v="325"/>
        <n v="242"/>
        <n v="634"/>
        <n v="72"/>
        <n v="1360"/>
        <n v="86"/>
        <n v="1232"/>
        <n v="48"/>
        <n v="26"/>
        <n v="310"/>
        <n v="552"/>
        <n v="711"/>
        <n v="763"/>
        <n v="433"/>
        <n v="188"/>
        <n v="164"/>
        <n v="357"/>
        <n v="268"/>
        <n v="580"/>
        <n v="1142"/>
        <n v="8605"/>
        <n v="7345"/>
        <n v="1121"/>
        <n v="142"/>
        <n v="1733"/>
        <n v="1584"/>
        <n v="18"/>
        <n v="1454"/>
        <n v="181"/>
        <n v="21"/>
        <n v="1057"/>
        <n v="640"/>
        <n v="1578"/>
        <n v="19"/>
        <n v="1117"/>
        <n v="792"/>
        <n v="823"/>
        <n v="292"/>
        <n v="1627"/>
        <n v="622"/>
        <n v="50"/>
        <n v="80"/>
        <n v="330"/>
        <n v="156"/>
        <n v="675"/>
        <n v="447"/>
        <n v="702"/>
        <n v="567"/>
        <n v="1372"/>
        <n v="274"/>
        <n v="669"/>
        <n v="180"/>
        <n v="3828"/>
        <n v="573"/>
        <n v="167"/>
        <n v="2112"/>
        <n v="269"/>
        <n v="641"/>
        <n v="1415"/>
        <n v="471"/>
        <n v="14"/>
        <n v="120"/>
        <n v="136"/>
        <n v="672"/>
        <n v="411"/>
        <n v="1452"/>
        <n v="201"/>
        <n v="1805"/>
        <n v="710"/>
        <n v="102"/>
        <n v="681"/>
        <n v="58"/>
        <n v="182"/>
        <n v="1943"/>
        <n v="492"/>
        <n v="1283"/>
        <n v="34"/>
        <n v="1157"/>
        <n v="23"/>
        <n v="1027"/>
        <n v="517"/>
        <n v="1076"/>
        <n v="186"/>
        <n v="230"/>
        <n v="2580"/>
        <n v="3770"/>
        <n v="152"/>
        <n v="6446"/>
        <n v="2610"/>
        <n v="101"/>
        <n v="345"/>
        <n v="1184"/>
        <n v="651"/>
        <n v="6192"/>
        <n v="99"/>
        <n v="66"/>
        <n v="219"/>
        <n v="265"/>
        <n v="3289"/>
        <n v="60"/>
        <n v="3554"/>
        <n v="245"/>
        <n v="311"/>
        <n v="255"/>
        <n v="73"/>
        <n v="11"/>
        <n v="4704"/>
        <n v="482"/>
        <n v="376"/>
        <n v="43"/>
        <n v="15"/>
        <n v="676"/>
        <n v="81"/>
        <n v="4722"/>
        <n v="2788"/>
        <n v="30"/>
        <n v="6612"/>
        <n v="62"/>
        <n v="1022"/>
        <n v="2296"/>
        <n v="461"/>
        <n v="218"/>
        <n v="103"/>
        <n v="98"/>
        <n v="364"/>
        <n v="543"/>
        <n v="2224"/>
        <n v="264"/>
        <n v="59"/>
        <n v="2408"/>
        <n v="7905"/>
        <n v="486"/>
        <n v="184"/>
        <n v="690"/>
        <n v="95"/>
        <n v="2543"/>
        <n v="121"/>
        <n v="1174"/>
        <n v="1053"/>
        <n v="4328"/>
        <n v="626"/>
        <n v="513"/>
        <n v="1579"/>
        <n v="526"/>
        <n v="82"/>
        <n v="1123"/>
        <n v="55"/>
        <n v="1264"/>
        <n v="299"/>
        <n v="3043"/>
        <n v="313"/>
        <n v="426"/>
        <n v="31"/>
        <n v="2462"/>
        <n v="474"/>
        <n v="233"/>
        <n v="107"/>
        <n v="922"/>
        <n v="2167"/>
        <n v="699"/>
        <n v="493"/>
        <n v="349"/>
        <n v="262"/>
        <n v="377"/>
        <n v="68"/>
        <n v="625"/>
        <n v="341"/>
        <n v="375"/>
        <n v="11698"/>
        <n v="698"/>
        <n v="147"/>
        <n v="490"/>
        <n v="32"/>
        <n v="802"/>
        <n v="92"/>
        <n v="6396"/>
        <n v="2273"/>
        <n v="108"/>
        <n v="37"/>
        <n v="5117"/>
        <n v="994"/>
        <n v="1032"/>
        <n v="1067"/>
        <n v="87"/>
        <n v="987"/>
        <n v="1047"/>
        <n v="109"/>
        <n v="77"/>
        <n v="1317"/>
        <n v="1310"/>
        <n v="178"/>
        <n v="205"/>
        <n v="1368"/>
        <n v="271"/>
        <n v="892"/>
        <n v="4123"/>
        <n v="41"/>
        <n v="1482"/>
        <n v="195"/>
        <n v="1936"/>
        <n v="2545"/>
        <n v="272"/>
        <n v="174"/>
        <n v="834"/>
        <n v="175"/>
        <n v="190"/>
        <n v="2834"/>
        <n v="12540"/>
        <n v="150"/>
        <n v="846"/>
        <n v="420"/>
        <n v="344"/>
        <n v="1555"/>
        <n v="524"/>
        <n v="5887"/>
        <n v="93"/>
        <n v="236"/>
        <n v="6661"/>
        <n v="2013"/>
        <n v="282"/>
        <n v="4368"/>
        <n v="2482"/>
        <n v="1213"/>
        <n v="193"/>
        <n v="756"/>
        <n v="192"/>
        <n v="795"/>
        <n v="760"/>
        <n v="839"/>
        <n v="518"/>
        <n v="553"/>
        <n v="280"/>
        <n v="145"/>
        <n v="12302"/>
        <n v="2188"/>
        <n v="1160"/>
        <n v="166"/>
        <n v="1852"/>
        <n v="1523"/>
        <n v="132"/>
        <n v="8810"/>
        <n v="533"/>
        <n v="381"/>
        <n v="977"/>
        <n v="104"/>
        <n v="4550"/>
        <n v="200"/>
        <n v="875"/>
        <n v="2637"/>
        <n v="951"/>
        <n v="1595"/>
        <n v="371"/>
        <n v="206"/>
        <n v="583"/>
        <n v="1908"/>
        <n v="294"/>
        <n v="5271"/>
        <n v="40"/>
        <n v="1720"/>
        <n v="382"/>
        <n v="301"/>
        <n v="566"/>
        <n v="384"/>
        <n v="576"/>
        <n v="525"/>
        <n v="4139"/>
        <n v="278"/>
        <n v="6070"/>
        <n v="134"/>
        <n v="279"/>
        <n v="85"/>
        <n v="1270"/>
        <n v="605"/>
        <n v="276"/>
        <n v="773"/>
        <n v="1727"/>
        <n v="267"/>
        <n v="467"/>
        <n v="421"/>
        <n v="240"/>
        <n v="561"/>
        <n v="604"/>
        <n v="3582"/>
        <n v="1144"/>
        <n v="347"/>
        <n v="259"/>
        <n v="952"/>
        <n v="1972"/>
        <n v="2034"/>
        <n v="74"/>
        <n v="974"/>
        <n v="324"/>
        <n v="3169"/>
        <n v="235"/>
        <n v="1783"/>
        <n v="804"/>
        <n v="232"/>
        <n v="1238"/>
        <n v="127"/>
        <n v="647"/>
        <n v="539"/>
        <n v="3930"/>
        <n v="1710"/>
        <n v="51"/>
        <n v="465"/>
        <n v="258"/>
        <n v="1592"/>
        <n v="1797"/>
        <n v="11657"/>
        <n v="2578"/>
        <n v="1054"/>
        <n v="237"/>
        <n v="2719"/>
        <n v="854"/>
        <n v="270"/>
        <n v="329"/>
        <n v="907"/>
        <n v="248"/>
        <n v="155"/>
        <n v="10211"/>
        <n v="933"/>
        <n v="601"/>
        <n v="859"/>
        <n v="508"/>
        <n v="896"/>
        <n v="1380"/>
        <n v="1393"/>
        <n v="603"/>
        <n v="229"/>
        <n v="250"/>
        <n v="832"/>
        <n v="298"/>
        <n v="642"/>
        <n v="1349"/>
        <n v="1370"/>
        <n v="100"/>
        <n v="590"/>
        <n v="342"/>
        <n v="1517"/>
        <n v="2058"/>
        <n v="331"/>
        <n v="1078"/>
        <n v="2004"/>
        <n v="154"/>
        <n v="52"/>
        <n v="1194"/>
        <n v="157"/>
        <n v="512"/>
        <n v="2609"/>
        <n v="10399"/>
        <n v="148"/>
        <n v="7171"/>
        <n v="2829"/>
        <n v="692"/>
        <n v="11839"/>
        <n v="454"/>
        <n v="335"/>
        <n v="848"/>
        <n v="1007"/>
        <n v="872"/>
        <n v="1186"/>
        <n v="403"/>
        <n v="1718"/>
        <n v="141"/>
        <n v="4493"/>
        <n v="769"/>
        <n v="249"/>
        <n v="748"/>
        <n v="139"/>
        <n v="470"/>
        <n v="340"/>
        <n v="785"/>
        <n v="217"/>
        <n v="1547"/>
        <n v="478"/>
        <n v="638"/>
        <n v="13027"/>
        <n v="841"/>
        <n v="227"/>
        <n v="1697"/>
        <n v="910"/>
        <n v="993"/>
        <n v="42"/>
        <n v="89"/>
        <n v="1767"/>
        <n v="2170"/>
        <n v="1711"/>
        <n v="2759"/>
        <n v="581"/>
        <n v="273"/>
        <n v="263"/>
        <n v="1017"/>
        <n v="7229"/>
        <n v="173"/>
        <n v="450"/>
        <n v="448"/>
        <n v="1985"/>
        <n v="729"/>
        <n v="986"/>
        <n v="2755"/>
        <n v="238"/>
        <n v="244"/>
        <n v="414"/>
        <n v="1895"/>
        <n v="777"/>
        <n v="399"/>
        <n v="2164"/>
        <n v="614"/>
        <n v="915"/>
        <n v="1862"/>
        <n v="1307"/>
        <n v="779"/>
        <n v="187"/>
        <n v="2043"/>
        <n v="54"/>
        <n v="3591"/>
        <n v="131"/>
        <n v="796"/>
        <n v="557"/>
        <n v="366"/>
        <n v="3749"/>
        <n v="84"/>
        <n v="5443"/>
        <n v="119"/>
        <n v="725"/>
        <n v="308"/>
        <n v="928"/>
        <n v="1050"/>
        <n v="356"/>
        <n v="446"/>
        <n v="542"/>
        <n v="208"/>
        <n v="678"/>
        <n v="3994"/>
        <n v="1518"/>
        <n v="596"/>
        <n v="1674"/>
        <n v="424"/>
        <n v="1550"/>
        <n v="8321"/>
        <n v="5935"/>
        <n v="5958"/>
        <n v="791"/>
        <n v="1321"/>
        <n v="445"/>
        <n v="1791"/>
        <n v="354"/>
        <n v="159"/>
        <n v="297"/>
        <n v="14228"/>
        <n v="1853"/>
        <n v="1369"/>
        <n v="3643"/>
        <n v="452"/>
        <n v="224"/>
        <n v="1548"/>
        <n v="386"/>
        <n v="1300"/>
        <n v="584"/>
        <n v="135"/>
        <n v="2333"/>
        <n v="937"/>
        <n v="130"/>
        <n v="3541"/>
        <n v="4144"/>
        <n v="2904"/>
        <n v="6410"/>
        <n v="1489"/>
        <n v="213"/>
        <n v="3270"/>
        <n v="460"/>
        <n v="586"/>
        <n v="898"/>
        <n v="695"/>
        <n v="1509"/>
        <n v="2628"/>
        <n v="582"/>
        <n v="3094"/>
        <n v="2525"/>
        <n v="221"/>
        <n v="2348"/>
        <n v="899"/>
        <n v="307"/>
        <n v="738"/>
        <n v="1166"/>
        <n v="1495"/>
        <n v="5878"/>
        <n v="368"/>
        <n v="1405"/>
        <n v="396"/>
        <n v="1588"/>
        <n v="1097"/>
        <n v="727"/>
        <n v="920"/>
        <n v="49"/>
        <n v="889"/>
        <n v="726"/>
        <n v="5268"/>
        <n v="352"/>
        <n v="1293"/>
        <n v="355"/>
        <n v="401"/>
        <n v="837"/>
        <n v="522"/>
        <n v="1237"/>
        <n v="923"/>
        <n v="1111"/>
        <n v="283"/>
        <n v="948"/>
        <n v="962"/>
        <n v="5069"/>
        <n v="8449"/>
        <n v="1685"/>
        <n v="457"/>
        <n v="419"/>
        <n v="1552"/>
        <n v="1450"/>
        <n v="1110"/>
        <n v="453"/>
        <n v="319"/>
        <n v="392"/>
        <n v="115"/>
        <n v="7420"/>
        <n v="63"/>
        <n v="226"/>
        <n v="125"/>
        <n v="1532"/>
        <n v="1064"/>
        <n v="556"/>
        <n v="211"/>
        <n v="717"/>
        <n v="436"/>
        <n v="944"/>
        <n v="2411"/>
        <n v="653"/>
        <n v="432"/>
        <n v="4832"/>
        <n v="1909"/>
        <n v="1225"/>
        <n v="3178"/>
        <n v="169"/>
        <n v="332"/>
        <n v="5213"/>
        <n v="1315"/>
        <n v="554"/>
        <n v="495"/>
        <n v="199"/>
        <n v="861"/>
        <n v="1295"/>
        <n v="252"/>
        <n v="511"/>
        <n v="1331"/>
        <n v="560"/>
        <n v="456"/>
        <n v="295"/>
        <n v="1198"/>
        <n v="662"/>
        <n v="592"/>
        <n v="3607"/>
        <n v="938"/>
        <n v="266"/>
        <n v="367"/>
        <n v="564"/>
        <n v="296"/>
        <n v="322"/>
        <n v="2007"/>
        <n v="746"/>
        <n v="126"/>
        <n v="285"/>
        <n v="850"/>
        <n v="1058"/>
        <n v="3118"/>
        <n v="477"/>
        <n v="693"/>
        <n v="234"/>
        <n v="4494"/>
        <n v="659"/>
        <n v="1851"/>
        <n v="1269"/>
        <n v="483"/>
        <n v="300"/>
        <n v="113"/>
        <n v="704"/>
        <n v="916"/>
        <n v="1469"/>
        <n v="1104"/>
        <n v="671"/>
        <n v="3232"/>
        <n v="1252"/>
        <n v="2891"/>
        <n v="982"/>
        <n v="3625"/>
        <n v="469"/>
        <n v="402"/>
        <n v="1919"/>
        <n v="2778"/>
        <n v="1382"/>
        <n v="94"/>
        <n v="2012"/>
        <n v="7065"/>
        <n v="1036"/>
        <n v="745"/>
        <n v="4136"/>
        <n v="7305"/>
        <n v="800"/>
        <n v="1398"/>
        <n v="451"/>
        <n v="803"/>
        <n v="88"/>
        <n v="1220"/>
        <n v="629"/>
        <n v="1083"/>
        <n v="395"/>
        <n v="2274"/>
        <n v="1109"/>
        <n v="106"/>
        <n v="6755"/>
        <n v="538"/>
        <n v="2388"/>
        <n v="397"/>
        <n v="1500"/>
        <n v="3826"/>
        <n v="844"/>
        <n v="2255"/>
        <n v="231"/>
        <n v="140"/>
        <n v="406"/>
        <n v="5296"/>
        <n v="162"/>
        <n v="1659"/>
        <n v="1969"/>
        <n v="144"/>
        <n v="17634"/>
        <n v="197"/>
        <n v="44"/>
        <n v="212"/>
        <n v="459"/>
        <n v="664"/>
        <n v="1020"/>
        <n v="5045"/>
        <n v="1732"/>
        <n v="176"/>
        <n v="548"/>
        <n v="722"/>
        <n v="527"/>
        <n v="670"/>
        <n v="304"/>
        <n v="326"/>
        <n v="2795"/>
        <n v="365"/>
        <n v="9115"/>
        <n v="2276"/>
        <n v="137"/>
        <n v="171"/>
        <n v="1480"/>
        <n v="7600"/>
        <n v="668"/>
        <n v="1641"/>
        <n v="2750"/>
        <n v="215"/>
        <n v="887"/>
        <n v="856"/>
        <n v="185"/>
        <n v="360"/>
        <n v="811"/>
        <n v="570"/>
        <n v="28097"/>
        <n v="2626"/>
        <n v="189"/>
        <n v="5758"/>
        <n v="966"/>
        <n v="571"/>
        <n v="1402"/>
        <n v="1131"/>
        <n v="2398"/>
        <n v="3667"/>
        <n v="2354"/>
        <n v="816"/>
        <n v="327"/>
        <n v="1236"/>
        <n v="15353"/>
        <n v="4660"/>
        <n v="468"/>
        <n v="435"/>
        <n v="1290"/>
        <n v="1504"/>
        <n v="2514"/>
        <n v="1046"/>
        <n v="639"/>
        <n v="475"/>
        <n v="390"/>
        <n v="2818"/>
        <n v="8055"/>
        <n v="1150"/>
        <n v="3133"/>
        <n v="550"/>
        <n v="595"/>
        <n v="992"/>
        <n v="484"/>
        <n v="491"/>
        <n v="864"/>
        <n v="537"/>
        <n v="380"/>
        <n v="1721"/>
        <n v="428"/>
        <n v="65"/>
        <n v="757"/>
        <n v="783"/>
        <n v="1130"/>
        <n v="741"/>
        <n v="1576"/>
        <n v="4000"/>
        <n v="1073"/>
        <n v="3855"/>
        <n v="1656"/>
        <n v="1460"/>
        <n v="247"/>
        <n v="536"/>
        <n v="378"/>
        <n v="828"/>
        <n v="11479"/>
        <n v="290"/>
        <n v="2003"/>
        <n v="11944"/>
        <n v="343"/>
        <n v="912"/>
        <n v="2314"/>
        <n v="635"/>
        <n v="1218"/>
        <n v="216"/>
        <n v="1028"/>
        <n v="860"/>
        <n v="348"/>
        <n v="105"/>
        <n v="1276"/>
        <n v="2752"/>
        <n v="1891"/>
        <n v="369"/>
        <n v="2493"/>
        <n v="613"/>
        <n v="372"/>
        <n v="323"/>
        <n v="76"/>
        <n v="1071"/>
        <n v="1316"/>
        <n v="496"/>
        <n v="569"/>
        <n v="8609"/>
      </sharedItems>
    </cacheField>
    <cacheField name="num_completes" numFmtId="0">
      <sharedItems containsSemiMixedTypes="0" containsString="0" containsNumber="1" containsInteger="1" minValue="0" maxValue="17775" count="714">
        <n v="92"/>
        <n v="0"/>
        <n v="1"/>
        <n v="265"/>
        <n v="2263"/>
        <n v="407"/>
        <n v="29"/>
        <n v="973"/>
        <n v="36"/>
        <n v="2"/>
        <n v="41"/>
        <n v="197"/>
        <n v="44"/>
        <n v="3801"/>
        <n v="9"/>
        <n v="31"/>
        <n v="30"/>
        <n v="2022"/>
        <n v="218"/>
        <n v="72"/>
        <n v="55"/>
        <n v="3"/>
        <n v="8"/>
        <n v="1672"/>
        <n v="230"/>
        <n v="113"/>
        <n v="487"/>
        <n v="781"/>
        <n v="551"/>
        <n v="3347"/>
        <n v="6"/>
        <n v="800"/>
        <n v="13"/>
        <n v="19"/>
        <n v="11"/>
        <n v="67"/>
        <n v="447"/>
        <n v="76"/>
        <n v="3195"/>
        <n v="5"/>
        <n v="12"/>
        <n v="87"/>
        <n v="21"/>
        <n v="851"/>
        <n v="1035"/>
        <n v="20"/>
        <n v="4"/>
        <n v="163"/>
        <n v="280"/>
        <n v="10"/>
        <n v="1274"/>
        <n v="96"/>
        <n v="613"/>
        <n v="4111"/>
        <n v="261"/>
        <n v="606"/>
        <n v="837"/>
        <n v="74"/>
        <n v="45"/>
        <n v="23"/>
        <n v="224"/>
        <n v="126"/>
        <n v="770"/>
        <n v="241"/>
        <n v="18"/>
        <n v="381"/>
        <n v="183"/>
        <n v="231"/>
        <n v="220"/>
        <n v="257"/>
        <n v="216"/>
        <n v="50"/>
        <n v="1379"/>
        <n v="86"/>
        <n v="846"/>
        <n v="720"/>
        <n v="24"/>
        <n v="145"/>
        <n v="685"/>
        <n v="546"/>
        <n v="316"/>
        <n v="75"/>
        <n v="156"/>
        <n v="1665"/>
        <n v="533"/>
        <n v="266"/>
        <n v="22"/>
        <n v="207"/>
        <n v="2331"/>
        <n v="43"/>
        <n v="375"/>
        <n v="32"/>
        <n v="148"/>
        <n v="52"/>
        <n v="5817"/>
        <n v="3150"/>
        <n v="719"/>
        <n v="210"/>
        <n v="299"/>
        <n v="122"/>
        <n v="134"/>
        <n v="1131"/>
        <n v="571"/>
        <n v="835"/>
        <n v="495"/>
        <n v="329"/>
        <n v="687"/>
        <n v="2852"/>
        <n v="178"/>
        <n v="711"/>
        <n v="1381"/>
        <n v="730"/>
        <n v="433"/>
        <n v="377"/>
        <n v="489"/>
        <n v="669"/>
        <n v="15"/>
        <n v="7"/>
        <n v="331"/>
        <n v="892"/>
        <n v="206"/>
        <n v="46"/>
        <n v="717"/>
        <n v="229"/>
        <n v="228"/>
        <n v="192"/>
        <n v="482"/>
        <n v="14"/>
        <n v="862"/>
        <n v="47"/>
        <n v="923"/>
        <n v="239"/>
        <n v="372"/>
        <n v="470"/>
        <n v="560"/>
        <n v="289"/>
        <n v="312"/>
        <n v="104"/>
        <n v="111"/>
        <n v="149"/>
        <n v="202"/>
        <n v="391"/>
        <n v="678"/>
        <n v="6972"/>
        <n v="26"/>
        <n v="2834"/>
        <n v="39"/>
        <n v="635"/>
        <n v="81"/>
        <n v="1152"/>
        <n v="824"/>
        <n v="157"/>
        <n v="657"/>
        <n v="735"/>
        <n v="445"/>
        <n v="1234"/>
        <n v="830"/>
        <n v="328"/>
        <n v="562"/>
        <n v="131"/>
        <n v="1239"/>
        <n v="351"/>
        <n v="33"/>
        <n v="38"/>
        <n v="58"/>
        <n v="190"/>
        <n v="117"/>
        <n v="319"/>
        <n v="82"/>
        <n v="429"/>
        <n v="307"/>
        <n v="1004"/>
        <n v="152"/>
        <n v="136"/>
        <n v="3047"/>
        <n v="355"/>
        <n v="90"/>
        <n v="1268"/>
        <n v="165"/>
        <n v="323"/>
        <n v="872"/>
        <n v="327"/>
        <n v="195"/>
        <n v="491"/>
        <n v="425"/>
        <n v="761"/>
        <n v="120"/>
        <n v="1011"/>
        <n v="535"/>
        <n v="398"/>
        <n v="79"/>
        <n v="1453"/>
        <n v="221"/>
        <n v="882"/>
        <n v="301"/>
        <n v="583"/>
        <n v="127"/>
        <n v="1448"/>
        <n v="1796"/>
        <n v="83"/>
        <n v="4884"/>
        <n v="1521"/>
        <n v="177"/>
        <n v="741"/>
        <n v="557"/>
        <n v="3172"/>
        <n v="103"/>
        <n v="142"/>
        <n v="61"/>
        <n v="2630"/>
        <n v="332"/>
        <n v="35"/>
        <n v="2375"/>
        <n v="181"/>
        <n v="243"/>
        <n v="73"/>
        <n v="37"/>
        <n v="3440"/>
        <n v="388"/>
        <n v="201"/>
        <n v="34"/>
        <n v="505"/>
        <n v="53"/>
        <n v="2548"/>
        <n v="1552"/>
        <n v="3650"/>
        <n v="620"/>
        <n v="16"/>
        <n v="1612"/>
        <n v="63"/>
        <n v="182"/>
        <n v="140"/>
        <n v="442"/>
        <n v="1606"/>
        <n v="444"/>
        <n v="1744"/>
        <n v="6171"/>
        <n v="139"/>
        <n v="400"/>
        <n v="179"/>
        <n v="57"/>
        <n v="1658"/>
        <n v="665"/>
        <n v="130"/>
        <n v="640"/>
        <n v="3332"/>
        <n v="426"/>
        <n v="1121"/>
        <n v="404"/>
        <n v="60"/>
        <n v="801"/>
        <n v="884"/>
        <n v="124"/>
        <n v="1360"/>
        <n v="62"/>
        <n v="208"/>
        <n v="1488"/>
        <n v="191"/>
        <n v="112"/>
        <n v="78"/>
        <n v="564"/>
        <n v="1057"/>
        <n v="109"/>
        <n v="497"/>
        <n v="300"/>
        <n v="259"/>
        <n v="187"/>
        <n v="40"/>
        <n v="449"/>
        <n v="233"/>
        <n v="258"/>
        <n v="9184"/>
        <n v="441"/>
        <n v="66"/>
        <n v="574"/>
        <n v="70"/>
        <n v="2410"/>
        <n v="843"/>
        <n v="84"/>
        <n v="3167"/>
        <n v="138"/>
        <n v="262"/>
        <n v="631"/>
        <n v="455"/>
        <n v="691"/>
        <n v="545"/>
        <n v="173"/>
        <n v="808"/>
        <n v="796"/>
        <n v="155"/>
        <n v="1016"/>
        <n v="223"/>
        <n v="580"/>
        <n v="3149"/>
        <n v="25"/>
        <n v="1050"/>
        <n v="107"/>
        <n v="1028"/>
        <n v="1051"/>
        <n v="91"/>
        <n v="1465"/>
        <n v="144"/>
        <n v="99"/>
        <n v="643"/>
        <n v="2115"/>
        <n v="10075"/>
        <n v="493"/>
        <n v="472"/>
        <n v="337"/>
        <n v="778"/>
        <n v="412"/>
        <n v="4515"/>
        <n v="59"/>
        <n v="3639"/>
        <n v="1545"/>
        <n v="154"/>
        <n v="2308"/>
        <n v="1831"/>
        <n v="891"/>
        <n v="334"/>
        <n v="597"/>
        <n v="585"/>
        <n v="639"/>
        <n v="298"/>
        <n v="274"/>
        <n v="114"/>
        <n v="9758"/>
        <n v="1315"/>
        <n v="629"/>
        <n v="51"/>
        <n v="98"/>
        <n v="1342"/>
        <n v="748"/>
        <n v="6856"/>
        <n v="506"/>
        <n v="247"/>
        <n v="3485"/>
        <n v="1784"/>
        <n v="723"/>
        <n v="1097"/>
        <n v="166"/>
        <n v="498"/>
        <n v="367"/>
        <n v="1266"/>
        <n v="219"/>
        <n v="160"/>
        <n v="4172"/>
        <n v="28"/>
        <n v="974"/>
        <n v="48"/>
        <n v="456"/>
        <n v="2112"/>
        <n v="3218"/>
        <n v="625"/>
        <n v="250"/>
        <n v="462"/>
        <n v="1203"/>
        <n v="186"/>
        <n v="405"/>
        <n v="605"/>
        <n v="171"/>
        <n v="100"/>
        <n v="390"/>
        <n v="340"/>
        <n v="2777"/>
        <n v="630"/>
        <n v="488"/>
        <n v="1507"/>
        <n v="1177"/>
        <n v="762"/>
        <n v="211"/>
        <n v="2350"/>
        <n v="146"/>
        <n v="1351"/>
        <n v="526"/>
        <n v="77"/>
        <n v="694"/>
        <n v="706"/>
        <n v="519"/>
        <n v="2476"/>
        <n v="121"/>
        <n v="864"/>
        <n v="333"/>
        <n v="1232"/>
        <n v="1014"/>
        <n v="9008"/>
        <n v="1947"/>
        <n v="1812"/>
        <n v="532"/>
        <n v="167"/>
        <n v="376"/>
        <n v="159"/>
        <n v="8004"/>
        <n v="448"/>
        <n v="480"/>
        <n v="108"/>
        <n v="518"/>
        <n v="370"/>
        <n v="868"/>
        <n v="915"/>
        <n v="397"/>
        <n v="235"/>
        <n v="563"/>
        <n v="175"/>
        <n v="982"/>
        <n v="817"/>
        <n v="71"/>
        <n v="437"/>
        <n v="450"/>
        <n v="946"/>
        <n v="1189"/>
        <n v="225"/>
        <n v="819"/>
        <n v="1500"/>
        <n v="198"/>
        <n v="49"/>
        <n v="248"/>
        <n v="1649"/>
        <n v="7869"/>
        <n v="5259"/>
        <n v="2044"/>
        <n v="308"/>
        <n v="9130"/>
        <n v="320"/>
        <n v="236"/>
        <n v="565"/>
        <n v="764"/>
        <n v="352"/>
        <n v="889"/>
        <n v="199"/>
        <n v="1162"/>
        <n v="95"/>
        <n v="3063"/>
        <n v="420"/>
        <n v="88"/>
        <n v="438"/>
        <n v="314"/>
        <n v="434"/>
        <n v="865"/>
        <n v="176"/>
        <n v="9243"/>
        <n v="880"/>
        <n v="215"/>
        <n v="744"/>
        <n v="937"/>
        <n v="1639"/>
        <n v="1107"/>
        <n v="2169"/>
        <n v="742"/>
        <n v="116"/>
        <n v="5423"/>
        <n v="361"/>
        <n v="1568"/>
        <n v="293"/>
        <n v="17"/>
        <n v="473"/>
        <n v="559"/>
        <n v="1559"/>
        <n v="164"/>
        <n v="196"/>
        <n v="141"/>
        <n v="1098"/>
        <n v="454"/>
        <n v="1218"/>
        <n v="287"/>
        <n v="1627"/>
        <n v="185"/>
        <n v="466"/>
        <n v="1055"/>
        <n v="926"/>
        <n v="106"/>
        <n v="2573"/>
        <n v="296"/>
        <n v="129"/>
        <n v="2654"/>
        <n v="42"/>
        <n v="4371"/>
        <n v="268"/>
        <n v="326"/>
        <n v="169"/>
        <n v="80"/>
        <n v="302"/>
        <n v="275"/>
        <n v="2627"/>
        <n v="172"/>
        <n v="715"/>
        <n v="341"/>
        <n v="907"/>
        <n v="27"/>
        <n v="883"/>
        <n v="4485"/>
        <n v="4510"/>
        <n v="4477"/>
        <n v="579"/>
        <n v="869"/>
        <n v="10376"/>
        <n v="1019"/>
        <n v="344"/>
        <n v="2540"/>
        <n v="143"/>
        <n v="1142"/>
        <n v="123"/>
        <n v="783"/>
        <n v="85"/>
        <n v="1430"/>
        <n v="689"/>
        <n v="204"/>
        <n v="2419"/>
        <n v="2469"/>
        <n v="2107"/>
        <n v="180"/>
        <n v="4886"/>
        <n v="1842"/>
        <n v="245"/>
        <n v="587"/>
        <n v="500"/>
        <n v="671"/>
        <n v="943"/>
        <n v="1494"/>
        <n v="2205"/>
        <n v="162"/>
        <n v="1951"/>
        <n v="1412"/>
        <n v="68"/>
        <n v="394"/>
        <n v="56"/>
        <n v="3975"/>
        <n v="929"/>
        <n v="284"/>
        <n v="1259"/>
        <n v="468"/>
        <n v="428"/>
        <n v="479"/>
        <n v="4081"/>
        <n v="203"/>
        <n v="976"/>
        <n v="313"/>
        <n v="349"/>
        <n v="379"/>
        <n v="612"/>
        <n v="356"/>
        <n v="859"/>
        <n v="621"/>
        <n v="897"/>
        <n v="153"/>
        <n v="158"/>
        <n v="133"/>
        <n v="746"/>
        <n v="2751"/>
        <n v="6253"/>
        <n v="933"/>
        <n v="305"/>
        <n v="921"/>
        <n v="955"/>
        <n v="812"/>
        <n v="524"/>
        <n v="252"/>
        <n v="115"/>
        <n v="291"/>
        <n v="4914"/>
        <n v="89"/>
        <n v="271"/>
        <n v="65"/>
        <n v="809"/>
        <n v="731"/>
        <n v="396"/>
        <n v="1897"/>
        <n v="431"/>
        <n v="3667"/>
        <n v="934"/>
        <n v="3912"/>
        <n v="373"/>
        <n v="894"/>
        <n v="949"/>
        <n v="674"/>
        <n v="290"/>
        <n v="276"/>
        <n v="217"/>
        <n v="452"/>
        <n v="2091"/>
        <n v="461"/>
        <n v="209"/>
        <n v="1542"/>
        <n v="393"/>
        <n v="576"/>
        <n v="2019"/>
        <n v="119"/>
        <n v="315"/>
        <n v="430"/>
        <n v="1742"/>
        <n v="399"/>
        <n v="997"/>
        <n v="610"/>
        <n v="269"/>
        <n v="598"/>
        <n v="1104"/>
        <n v="432"/>
        <n v="2376"/>
        <n v="525"/>
        <n v="1906"/>
        <n v="732"/>
        <n v="369"/>
        <n v="1716"/>
        <n v="1889"/>
        <n v="283"/>
        <n v="992"/>
        <n v="2129"/>
        <n v="214"/>
        <n v="1241"/>
        <n v="5566"/>
        <n v="736"/>
        <n v="342"/>
        <n v="226"/>
        <n v="575"/>
        <n v="419"/>
        <n v="2084"/>
        <n v="5601"/>
        <n v="1040"/>
        <n v="306"/>
        <n v="451"/>
        <n v="633"/>
        <n v="712"/>
        <n v="1694"/>
        <n v="5410"/>
        <n v="189"/>
        <n v="1466"/>
        <n v="254"/>
        <n v="615"/>
        <n v="2972"/>
        <n v="227"/>
        <n v="1764"/>
        <n v="3452"/>
        <n v="238"/>
        <n v="64"/>
        <n v="1278"/>
        <n v="1400"/>
        <n v="11026"/>
        <n v="118"/>
        <n v="193"/>
        <n v="609"/>
        <n v="3863"/>
        <n v="1013"/>
        <n v="541"/>
        <n v="354"/>
        <n v="292"/>
        <n v="484"/>
        <n v="242"/>
        <n v="7235"/>
        <n v="1743"/>
        <n v="168"/>
        <n v="726"/>
        <n v="4467"/>
        <n v="2135"/>
        <n v="297"/>
        <n v="1086"/>
        <n v="624"/>
        <n v="508"/>
        <n v="17775"/>
        <n v="1491"/>
        <n v="4399"/>
        <n v="890"/>
        <n v="554"/>
        <n v="1755"/>
        <n v="2182"/>
        <n v="1343"/>
        <n v="12499"/>
        <n v="3535"/>
        <n v="286"/>
        <n v="347"/>
        <n v="887"/>
        <n v="1882"/>
        <n v="805"/>
        <n v="1918"/>
        <n v="5042"/>
        <n v="703"/>
        <n v="2150"/>
        <n v="325"/>
        <n v="357"/>
        <n v="698"/>
        <n v="125"/>
        <n v="1383"/>
        <n v="378"/>
        <n v="822"/>
        <n v="402"/>
        <n v="860"/>
        <n v="2671"/>
        <n v="831"/>
        <n v="2846"/>
        <n v="135"/>
        <n v="1613"/>
        <n v="632"/>
        <n v="200"/>
        <n v="436"/>
        <n v="150"/>
        <n v="510"/>
        <n v="7152"/>
        <n v="1432"/>
        <n v="9801"/>
        <n v="101"/>
        <n v="251"/>
        <n v="475"/>
        <n v="1823"/>
        <n v="385"/>
        <n v="721"/>
        <n v="722"/>
        <n v="549"/>
        <n v="1426"/>
        <n v="1859"/>
        <n v="1860"/>
        <n v="105"/>
        <n v="1103"/>
        <n v="716"/>
        <n v="353"/>
        <n v="6873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00">
  <r>
    <x v="0"/>
    <x v="0"/>
    <x v="0"/>
    <x v="0"/>
    <x v="0"/>
    <x v="0"/>
  </r>
  <r>
    <x v="0"/>
    <x v="1"/>
    <x v="1"/>
    <x v="1"/>
    <x v="1"/>
    <x v="1"/>
  </r>
  <r>
    <x v="0"/>
    <x v="2"/>
    <x v="1"/>
    <x v="1"/>
    <x v="1"/>
    <x v="2"/>
  </r>
  <r>
    <x v="1"/>
    <x v="3"/>
    <x v="0"/>
    <x v="2"/>
    <x v="2"/>
    <x v="1"/>
  </r>
  <r>
    <x v="2"/>
    <x v="4"/>
    <x v="0"/>
    <x v="3"/>
    <x v="3"/>
    <x v="3"/>
  </r>
  <r>
    <x v="2"/>
    <x v="5"/>
    <x v="0"/>
    <x v="4"/>
    <x v="4"/>
    <x v="4"/>
  </r>
  <r>
    <x v="2"/>
    <x v="6"/>
    <x v="1"/>
    <x v="5"/>
    <x v="5"/>
    <x v="5"/>
  </r>
  <r>
    <x v="2"/>
    <x v="7"/>
    <x v="1"/>
    <x v="6"/>
    <x v="6"/>
    <x v="6"/>
  </r>
  <r>
    <x v="3"/>
    <x v="8"/>
    <x v="1"/>
    <x v="7"/>
    <x v="7"/>
    <x v="7"/>
  </r>
  <r>
    <x v="3"/>
    <x v="9"/>
    <x v="1"/>
    <x v="8"/>
    <x v="1"/>
    <x v="2"/>
  </r>
  <r>
    <x v="4"/>
    <x v="10"/>
    <x v="0"/>
    <x v="9"/>
    <x v="8"/>
    <x v="8"/>
  </r>
  <r>
    <x v="5"/>
    <x v="11"/>
    <x v="1"/>
    <x v="10"/>
    <x v="9"/>
    <x v="9"/>
  </r>
  <r>
    <x v="5"/>
    <x v="12"/>
    <x v="0"/>
    <x v="11"/>
    <x v="10"/>
    <x v="10"/>
  </r>
  <r>
    <x v="6"/>
    <x v="12"/>
    <x v="1"/>
    <x v="12"/>
    <x v="11"/>
    <x v="11"/>
  </r>
  <r>
    <x v="6"/>
    <x v="13"/>
    <x v="1"/>
    <x v="13"/>
    <x v="12"/>
    <x v="12"/>
  </r>
  <r>
    <x v="6"/>
    <x v="14"/>
    <x v="1"/>
    <x v="14"/>
    <x v="13"/>
    <x v="13"/>
  </r>
  <r>
    <x v="7"/>
    <x v="15"/>
    <x v="0"/>
    <x v="15"/>
    <x v="14"/>
    <x v="14"/>
  </r>
  <r>
    <x v="7"/>
    <x v="16"/>
    <x v="1"/>
    <x v="16"/>
    <x v="15"/>
    <x v="15"/>
  </r>
  <r>
    <x v="8"/>
    <x v="6"/>
    <x v="1"/>
    <x v="17"/>
    <x v="16"/>
    <x v="16"/>
  </r>
  <r>
    <x v="9"/>
    <x v="8"/>
    <x v="0"/>
    <x v="18"/>
    <x v="17"/>
    <x v="17"/>
  </r>
  <r>
    <x v="9"/>
    <x v="17"/>
    <x v="1"/>
    <x v="19"/>
    <x v="18"/>
    <x v="18"/>
  </r>
  <r>
    <x v="9"/>
    <x v="18"/>
    <x v="1"/>
    <x v="20"/>
    <x v="19"/>
    <x v="1"/>
  </r>
  <r>
    <x v="9"/>
    <x v="2"/>
    <x v="1"/>
    <x v="20"/>
    <x v="19"/>
    <x v="1"/>
  </r>
  <r>
    <x v="10"/>
    <x v="19"/>
    <x v="1"/>
    <x v="21"/>
    <x v="20"/>
    <x v="19"/>
  </r>
  <r>
    <x v="10"/>
    <x v="20"/>
    <x v="1"/>
    <x v="22"/>
    <x v="21"/>
    <x v="20"/>
  </r>
  <r>
    <x v="10"/>
    <x v="21"/>
    <x v="1"/>
    <x v="23"/>
    <x v="22"/>
    <x v="21"/>
  </r>
  <r>
    <x v="10"/>
    <x v="22"/>
    <x v="1"/>
    <x v="24"/>
    <x v="23"/>
    <x v="15"/>
  </r>
  <r>
    <x v="11"/>
    <x v="23"/>
    <x v="0"/>
    <x v="25"/>
    <x v="24"/>
    <x v="22"/>
  </r>
  <r>
    <x v="11"/>
    <x v="24"/>
    <x v="1"/>
    <x v="8"/>
    <x v="25"/>
    <x v="1"/>
  </r>
  <r>
    <x v="11"/>
    <x v="25"/>
    <x v="1"/>
    <x v="26"/>
    <x v="26"/>
    <x v="23"/>
  </r>
  <r>
    <x v="12"/>
    <x v="26"/>
    <x v="0"/>
    <x v="27"/>
    <x v="27"/>
    <x v="24"/>
  </r>
  <r>
    <x v="12"/>
    <x v="27"/>
    <x v="1"/>
    <x v="28"/>
    <x v="28"/>
    <x v="25"/>
  </r>
  <r>
    <x v="12"/>
    <x v="28"/>
    <x v="1"/>
    <x v="29"/>
    <x v="29"/>
    <x v="26"/>
  </r>
  <r>
    <x v="12"/>
    <x v="29"/>
    <x v="0"/>
    <x v="30"/>
    <x v="30"/>
    <x v="9"/>
  </r>
  <r>
    <x v="13"/>
    <x v="30"/>
    <x v="0"/>
    <x v="31"/>
    <x v="31"/>
    <x v="27"/>
  </r>
  <r>
    <x v="13"/>
    <x v="30"/>
    <x v="1"/>
    <x v="32"/>
    <x v="32"/>
    <x v="28"/>
  </r>
  <r>
    <x v="13"/>
    <x v="31"/>
    <x v="1"/>
    <x v="33"/>
    <x v="33"/>
    <x v="29"/>
  </r>
  <r>
    <x v="14"/>
    <x v="32"/>
    <x v="1"/>
    <x v="34"/>
    <x v="34"/>
    <x v="30"/>
  </r>
  <r>
    <x v="14"/>
    <x v="33"/>
    <x v="1"/>
    <x v="35"/>
    <x v="35"/>
    <x v="31"/>
  </r>
  <r>
    <x v="14"/>
    <x v="34"/>
    <x v="1"/>
    <x v="1"/>
    <x v="1"/>
    <x v="1"/>
  </r>
  <r>
    <x v="15"/>
    <x v="34"/>
    <x v="1"/>
    <x v="1"/>
    <x v="1"/>
    <x v="1"/>
  </r>
  <r>
    <x v="16"/>
    <x v="35"/>
    <x v="1"/>
    <x v="36"/>
    <x v="36"/>
    <x v="32"/>
  </r>
  <r>
    <x v="17"/>
    <x v="36"/>
    <x v="1"/>
    <x v="1"/>
    <x v="1"/>
    <x v="1"/>
  </r>
  <r>
    <x v="18"/>
    <x v="37"/>
    <x v="0"/>
    <x v="37"/>
    <x v="37"/>
    <x v="21"/>
  </r>
  <r>
    <x v="18"/>
    <x v="38"/>
    <x v="1"/>
    <x v="38"/>
    <x v="38"/>
    <x v="33"/>
  </r>
  <r>
    <x v="19"/>
    <x v="26"/>
    <x v="1"/>
    <x v="39"/>
    <x v="38"/>
    <x v="34"/>
  </r>
  <r>
    <x v="0"/>
    <x v="39"/>
    <x v="1"/>
    <x v="20"/>
    <x v="19"/>
    <x v="1"/>
  </r>
  <r>
    <x v="0"/>
    <x v="40"/>
    <x v="0"/>
    <x v="40"/>
    <x v="39"/>
    <x v="35"/>
  </r>
  <r>
    <x v="20"/>
    <x v="8"/>
    <x v="0"/>
    <x v="41"/>
    <x v="40"/>
    <x v="36"/>
  </r>
  <r>
    <x v="20"/>
    <x v="41"/>
    <x v="1"/>
    <x v="42"/>
    <x v="41"/>
    <x v="37"/>
  </r>
  <r>
    <x v="1"/>
    <x v="5"/>
    <x v="1"/>
    <x v="43"/>
    <x v="42"/>
    <x v="38"/>
  </r>
  <r>
    <x v="3"/>
    <x v="42"/>
    <x v="1"/>
    <x v="30"/>
    <x v="43"/>
    <x v="39"/>
  </r>
  <r>
    <x v="3"/>
    <x v="43"/>
    <x v="1"/>
    <x v="17"/>
    <x v="16"/>
    <x v="40"/>
  </r>
  <r>
    <x v="3"/>
    <x v="44"/>
    <x v="0"/>
    <x v="44"/>
    <x v="44"/>
    <x v="1"/>
  </r>
  <r>
    <x v="3"/>
    <x v="45"/>
    <x v="1"/>
    <x v="45"/>
    <x v="45"/>
    <x v="41"/>
  </r>
  <r>
    <x v="3"/>
    <x v="46"/>
    <x v="1"/>
    <x v="46"/>
    <x v="46"/>
    <x v="42"/>
  </r>
  <r>
    <x v="3"/>
    <x v="40"/>
    <x v="1"/>
    <x v="47"/>
    <x v="47"/>
    <x v="43"/>
  </r>
  <r>
    <x v="5"/>
    <x v="47"/>
    <x v="1"/>
    <x v="48"/>
    <x v="48"/>
    <x v="44"/>
  </r>
  <r>
    <x v="5"/>
    <x v="48"/>
    <x v="1"/>
    <x v="49"/>
    <x v="44"/>
    <x v="1"/>
  </r>
  <r>
    <x v="6"/>
    <x v="49"/>
    <x v="1"/>
    <x v="36"/>
    <x v="36"/>
    <x v="45"/>
  </r>
  <r>
    <x v="6"/>
    <x v="50"/>
    <x v="1"/>
    <x v="38"/>
    <x v="49"/>
    <x v="40"/>
  </r>
  <r>
    <x v="7"/>
    <x v="51"/>
    <x v="1"/>
    <x v="50"/>
    <x v="9"/>
    <x v="46"/>
  </r>
  <r>
    <x v="7"/>
    <x v="52"/>
    <x v="1"/>
    <x v="1"/>
    <x v="1"/>
    <x v="2"/>
  </r>
  <r>
    <x v="7"/>
    <x v="25"/>
    <x v="1"/>
    <x v="51"/>
    <x v="44"/>
    <x v="1"/>
  </r>
  <r>
    <x v="7"/>
    <x v="2"/>
    <x v="1"/>
    <x v="1"/>
    <x v="1"/>
    <x v="1"/>
  </r>
  <r>
    <x v="9"/>
    <x v="30"/>
    <x v="0"/>
    <x v="52"/>
    <x v="50"/>
    <x v="47"/>
  </r>
  <r>
    <x v="9"/>
    <x v="53"/>
    <x v="1"/>
    <x v="20"/>
    <x v="19"/>
    <x v="1"/>
  </r>
  <r>
    <x v="9"/>
    <x v="40"/>
    <x v="1"/>
    <x v="53"/>
    <x v="51"/>
    <x v="48"/>
  </r>
  <r>
    <x v="10"/>
    <x v="54"/>
    <x v="1"/>
    <x v="1"/>
    <x v="1"/>
    <x v="1"/>
  </r>
  <r>
    <x v="10"/>
    <x v="55"/>
    <x v="1"/>
    <x v="54"/>
    <x v="52"/>
    <x v="49"/>
  </r>
  <r>
    <x v="10"/>
    <x v="24"/>
    <x v="1"/>
    <x v="1"/>
    <x v="1"/>
    <x v="1"/>
  </r>
  <r>
    <x v="10"/>
    <x v="56"/>
    <x v="1"/>
    <x v="55"/>
    <x v="53"/>
    <x v="46"/>
  </r>
  <r>
    <x v="11"/>
    <x v="57"/>
    <x v="1"/>
    <x v="56"/>
    <x v="54"/>
    <x v="50"/>
  </r>
  <r>
    <x v="11"/>
    <x v="58"/>
    <x v="1"/>
    <x v="57"/>
    <x v="55"/>
    <x v="51"/>
  </r>
  <r>
    <x v="12"/>
    <x v="32"/>
    <x v="1"/>
    <x v="58"/>
    <x v="56"/>
    <x v="35"/>
  </r>
  <r>
    <x v="12"/>
    <x v="12"/>
    <x v="0"/>
    <x v="59"/>
    <x v="25"/>
    <x v="2"/>
  </r>
  <r>
    <x v="12"/>
    <x v="17"/>
    <x v="1"/>
    <x v="60"/>
    <x v="57"/>
    <x v="52"/>
  </r>
  <r>
    <x v="12"/>
    <x v="59"/>
    <x v="1"/>
    <x v="61"/>
    <x v="22"/>
    <x v="22"/>
  </r>
  <r>
    <x v="12"/>
    <x v="52"/>
    <x v="1"/>
    <x v="50"/>
    <x v="9"/>
    <x v="1"/>
  </r>
  <r>
    <x v="12"/>
    <x v="60"/>
    <x v="1"/>
    <x v="59"/>
    <x v="37"/>
    <x v="1"/>
  </r>
  <r>
    <x v="21"/>
    <x v="36"/>
    <x v="1"/>
    <x v="1"/>
    <x v="1"/>
    <x v="1"/>
  </r>
  <r>
    <x v="13"/>
    <x v="59"/>
    <x v="1"/>
    <x v="62"/>
    <x v="53"/>
    <x v="49"/>
  </r>
  <r>
    <x v="13"/>
    <x v="61"/>
    <x v="0"/>
    <x v="63"/>
    <x v="58"/>
    <x v="53"/>
  </r>
  <r>
    <x v="13"/>
    <x v="2"/>
    <x v="1"/>
    <x v="1"/>
    <x v="1"/>
    <x v="1"/>
  </r>
  <r>
    <x v="14"/>
    <x v="17"/>
    <x v="1"/>
    <x v="64"/>
    <x v="59"/>
    <x v="54"/>
  </r>
  <r>
    <x v="14"/>
    <x v="5"/>
    <x v="1"/>
    <x v="65"/>
    <x v="60"/>
    <x v="55"/>
  </r>
  <r>
    <x v="15"/>
    <x v="1"/>
    <x v="1"/>
    <x v="1"/>
    <x v="1"/>
    <x v="1"/>
  </r>
  <r>
    <x v="16"/>
    <x v="0"/>
    <x v="1"/>
    <x v="66"/>
    <x v="61"/>
    <x v="56"/>
  </r>
  <r>
    <x v="18"/>
    <x v="62"/>
    <x v="0"/>
    <x v="67"/>
    <x v="19"/>
    <x v="2"/>
  </r>
  <r>
    <x v="18"/>
    <x v="63"/>
    <x v="0"/>
    <x v="20"/>
    <x v="19"/>
    <x v="9"/>
  </r>
  <r>
    <x v="19"/>
    <x v="8"/>
    <x v="1"/>
    <x v="68"/>
    <x v="62"/>
    <x v="57"/>
  </r>
  <r>
    <x v="19"/>
    <x v="12"/>
    <x v="1"/>
    <x v="69"/>
    <x v="63"/>
    <x v="58"/>
  </r>
  <r>
    <x v="19"/>
    <x v="20"/>
    <x v="1"/>
    <x v="70"/>
    <x v="64"/>
    <x v="59"/>
  </r>
  <r>
    <x v="0"/>
    <x v="64"/>
    <x v="1"/>
    <x v="71"/>
    <x v="65"/>
    <x v="60"/>
  </r>
  <r>
    <x v="0"/>
    <x v="65"/>
    <x v="0"/>
    <x v="72"/>
    <x v="66"/>
    <x v="60"/>
  </r>
  <r>
    <x v="20"/>
    <x v="66"/>
    <x v="1"/>
    <x v="64"/>
    <x v="59"/>
    <x v="61"/>
  </r>
  <r>
    <x v="20"/>
    <x v="67"/>
    <x v="1"/>
    <x v="73"/>
    <x v="67"/>
    <x v="59"/>
  </r>
  <r>
    <x v="1"/>
    <x v="68"/>
    <x v="1"/>
    <x v="1"/>
    <x v="1"/>
    <x v="2"/>
  </r>
  <r>
    <x v="2"/>
    <x v="37"/>
    <x v="0"/>
    <x v="74"/>
    <x v="9"/>
    <x v="21"/>
  </r>
  <r>
    <x v="2"/>
    <x v="69"/>
    <x v="0"/>
    <x v="75"/>
    <x v="68"/>
    <x v="62"/>
  </r>
  <r>
    <x v="2"/>
    <x v="70"/>
    <x v="0"/>
    <x v="76"/>
    <x v="69"/>
    <x v="63"/>
  </r>
  <r>
    <x v="3"/>
    <x v="23"/>
    <x v="1"/>
    <x v="77"/>
    <x v="12"/>
    <x v="42"/>
  </r>
  <r>
    <x v="3"/>
    <x v="10"/>
    <x v="0"/>
    <x v="78"/>
    <x v="46"/>
    <x v="64"/>
  </r>
  <r>
    <x v="3"/>
    <x v="50"/>
    <x v="1"/>
    <x v="79"/>
    <x v="70"/>
    <x v="65"/>
  </r>
  <r>
    <x v="3"/>
    <x v="65"/>
    <x v="0"/>
    <x v="80"/>
    <x v="71"/>
    <x v="66"/>
  </r>
  <r>
    <x v="4"/>
    <x v="71"/>
    <x v="1"/>
    <x v="81"/>
    <x v="72"/>
    <x v="67"/>
  </r>
  <r>
    <x v="5"/>
    <x v="72"/>
    <x v="1"/>
    <x v="82"/>
    <x v="73"/>
    <x v="49"/>
  </r>
  <r>
    <x v="5"/>
    <x v="73"/>
    <x v="1"/>
    <x v="83"/>
    <x v="74"/>
    <x v="68"/>
  </r>
  <r>
    <x v="6"/>
    <x v="51"/>
    <x v="1"/>
    <x v="84"/>
    <x v="75"/>
    <x v="69"/>
  </r>
  <r>
    <x v="6"/>
    <x v="71"/>
    <x v="1"/>
    <x v="85"/>
    <x v="76"/>
    <x v="70"/>
  </r>
  <r>
    <x v="6"/>
    <x v="74"/>
    <x v="0"/>
    <x v="86"/>
    <x v="1"/>
    <x v="1"/>
  </r>
  <r>
    <x v="6"/>
    <x v="74"/>
    <x v="1"/>
    <x v="87"/>
    <x v="44"/>
    <x v="1"/>
  </r>
  <r>
    <x v="6"/>
    <x v="2"/>
    <x v="1"/>
    <x v="1"/>
    <x v="1"/>
    <x v="2"/>
  </r>
  <r>
    <x v="7"/>
    <x v="3"/>
    <x v="1"/>
    <x v="88"/>
    <x v="1"/>
    <x v="1"/>
  </r>
  <r>
    <x v="7"/>
    <x v="13"/>
    <x v="1"/>
    <x v="89"/>
    <x v="77"/>
    <x v="71"/>
  </r>
  <r>
    <x v="8"/>
    <x v="75"/>
    <x v="1"/>
    <x v="90"/>
    <x v="78"/>
    <x v="72"/>
  </r>
  <r>
    <x v="8"/>
    <x v="76"/>
    <x v="0"/>
    <x v="91"/>
    <x v="79"/>
    <x v="73"/>
  </r>
  <r>
    <x v="10"/>
    <x v="26"/>
    <x v="0"/>
    <x v="92"/>
    <x v="80"/>
    <x v="74"/>
  </r>
  <r>
    <x v="10"/>
    <x v="59"/>
    <x v="0"/>
    <x v="1"/>
    <x v="44"/>
    <x v="1"/>
  </r>
  <r>
    <x v="11"/>
    <x v="77"/>
    <x v="1"/>
    <x v="93"/>
    <x v="2"/>
    <x v="9"/>
  </r>
  <r>
    <x v="11"/>
    <x v="17"/>
    <x v="1"/>
    <x v="94"/>
    <x v="81"/>
    <x v="75"/>
  </r>
  <r>
    <x v="12"/>
    <x v="41"/>
    <x v="1"/>
    <x v="95"/>
    <x v="82"/>
    <x v="76"/>
  </r>
  <r>
    <x v="12"/>
    <x v="69"/>
    <x v="1"/>
    <x v="96"/>
    <x v="83"/>
    <x v="77"/>
  </r>
  <r>
    <x v="12"/>
    <x v="78"/>
    <x v="1"/>
    <x v="97"/>
    <x v="84"/>
    <x v="78"/>
  </r>
  <r>
    <x v="12"/>
    <x v="79"/>
    <x v="0"/>
    <x v="98"/>
    <x v="85"/>
    <x v="22"/>
  </r>
  <r>
    <x v="13"/>
    <x v="69"/>
    <x v="1"/>
    <x v="99"/>
    <x v="86"/>
    <x v="79"/>
  </r>
  <r>
    <x v="13"/>
    <x v="80"/>
    <x v="1"/>
    <x v="100"/>
    <x v="87"/>
    <x v="80"/>
  </r>
  <r>
    <x v="14"/>
    <x v="21"/>
    <x v="1"/>
    <x v="10"/>
    <x v="2"/>
    <x v="2"/>
  </r>
  <r>
    <x v="14"/>
    <x v="71"/>
    <x v="1"/>
    <x v="101"/>
    <x v="88"/>
    <x v="81"/>
  </r>
  <r>
    <x v="15"/>
    <x v="81"/>
    <x v="0"/>
    <x v="102"/>
    <x v="89"/>
    <x v="82"/>
  </r>
  <r>
    <x v="15"/>
    <x v="59"/>
    <x v="1"/>
    <x v="59"/>
    <x v="19"/>
    <x v="2"/>
  </r>
  <r>
    <x v="15"/>
    <x v="61"/>
    <x v="1"/>
    <x v="103"/>
    <x v="90"/>
    <x v="83"/>
  </r>
  <r>
    <x v="15"/>
    <x v="82"/>
    <x v="1"/>
    <x v="1"/>
    <x v="1"/>
    <x v="1"/>
  </r>
  <r>
    <x v="16"/>
    <x v="75"/>
    <x v="1"/>
    <x v="104"/>
    <x v="91"/>
    <x v="84"/>
  </r>
  <r>
    <x v="17"/>
    <x v="83"/>
    <x v="1"/>
    <x v="105"/>
    <x v="92"/>
    <x v="85"/>
  </r>
  <r>
    <x v="18"/>
    <x v="84"/>
    <x v="1"/>
    <x v="10"/>
    <x v="9"/>
    <x v="2"/>
  </r>
  <r>
    <x v="19"/>
    <x v="62"/>
    <x v="0"/>
    <x v="106"/>
    <x v="44"/>
    <x v="1"/>
  </r>
  <r>
    <x v="19"/>
    <x v="30"/>
    <x v="1"/>
    <x v="25"/>
    <x v="93"/>
    <x v="86"/>
  </r>
  <r>
    <x v="19"/>
    <x v="47"/>
    <x v="1"/>
    <x v="83"/>
    <x v="74"/>
    <x v="87"/>
  </r>
  <r>
    <x v="0"/>
    <x v="37"/>
    <x v="1"/>
    <x v="93"/>
    <x v="44"/>
    <x v="1"/>
  </r>
  <r>
    <x v="0"/>
    <x v="69"/>
    <x v="0"/>
    <x v="107"/>
    <x v="94"/>
    <x v="88"/>
  </r>
  <r>
    <x v="0"/>
    <x v="68"/>
    <x v="1"/>
    <x v="108"/>
    <x v="95"/>
    <x v="89"/>
  </r>
  <r>
    <x v="0"/>
    <x v="60"/>
    <x v="1"/>
    <x v="1"/>
    <x v="1"/>
    <x v="2"/>
  </r>
  <r>
    <x v="20"/>
    <x v="6"/>
    <x v="0"/>
    <x v="109"/>
    <x v="96"/>
    <x v="90"/>
  </r>
  <r>
    <x v="1"/>
    <x v="23"/>
    <x v="1"/>
    <x v="110"/>
    <x v="97"/>
    <x v="91"/>
  </r>
  <r>
    <x v="3"/>
    <x v="85"/>
    <x v="1"/>
    <x v="111"/>
    <x v="98"/>
    <x v="92"/>
  </r>
  <r>
    <x v="3"/>
    <x v="68"/>
    <x v="1"/>
    <x v="112"/>
    <x v="99"/>
    <x v="93"/>
  </r>
  <r>
    <x v="3"/>
    <x v="86"/>
    <x v="0"/>
    <x v="113"/>
    <x v="100"/>
    <x v="94"/>
  </r>
  <r>
    <x v="4"/>
    <x v="87"/>
    <x v="1"/>
    <x v="114"/>
    <x v="41"/>
    <x v="35"/>
  </r>
  <r>
    <x v="4"/>
    <x v="0"/>
    <x v="1"/>
    <x v="115"/>
    <x v="101"/>
    <x v="95"/>
  </r>
  <r>
    <x v="4"/>
    <x v="88"/>
    <x v="0"/>
    <x v="3"/>
    <x v="102"/>
    <x v="96"/>
  </r>
  <r>
    <x v="4"/>
    <x v="73"/>
    <x v="1"/>
    <x v="116"/>
    <x v="103"/>
    <x v="97"/>
  </r>
  <r>
    <x v="5"/>
    <x v="37"/>
    <x v="1"/>
    <x v="117"/>
    <x v="2"/>
    <x v="2"/>
  </r>
  <r>
    <x v="5"/>
    <x v="41"/>
    <x v="0"/>
    <x v="118"/>
    <x v="104"/>
    <x v="98"/>
  </r>
  <r>
    <x v="5"/>
    <x v="89"/>
    <x v="1"/>
    <x v="119"/>
    <x v="105"/>
    <x v="68"/>
  </r>
  <r>
    <x v="6"/>
    <x v="48"/>
    <x v="1"/>
    <x v="120"/>
    <x v="44"/>
    <x v="1"/>
  </r>
  <r>
    <x v="7"/>
    <x v="76"/>
    <x v="1"/>
    <x v="121"/>
    <x v="106"/>
    <x v="99"/>
  </r>
  <r>
    <x v="9"/>
    <x v="65"/>
    <x v="0"/>
    <x v="122"/>
    <x v="107"/>
    <x v="100"/>
  </r>
  <r>
    <x v="9"/>
    <x v="20"/>
    <x v="1"/>
    <x v="123"/>
    <x v="108"/>
    <x v="60"/>
  </r>
  <r>
    <x v="10"/>
    <x v="87"/>
    <x v="1"/>
    <x v="124"/>
    <x v="109"/>
    <x v="10"/>
  </r>
  <r>
    <x v="10"/>
    <x v="30"/>
    <x v="0"/>
    <x v="92"/>
    <x v="110"/>
    <x v="101"/>
  </r>
  <r>
    <x v="10"/>
    <x v="17"/>
    <x v="1"/>
    <x v="125"/>
    <x v="111"/>
    <x v="102"/>
  </r>
  <r>
    <x v="11"/>
    <x v="26"/>
    <x v="0"/>
    <x v="126"/>
    <x v="112"/>
    <x v="103"/>
  </r>
  <r>
    <x v="11"/>
    <x v="69"/>
    <x v="0"/>
    <x v="127"/>
    <x v="113"/>
    <x v="104"/>
  </r>
  <r>
    <x v="12"/>
    <x v="3"/>
    <x v="0"/>
    <x v="128"/>
    <x v="25"/>
    <x v="2"/>
  </r>
  <r>
    <x v="12"/>
    <x v="8"/>
    <x v="0"/>
    <x v="129"/>
    <x v="114"/>
    <x v="105"/>
  </r>
  <r>
    <x v="12"/>
    <x v="88"/>
    <x v="1"/>
    <x v="130"/>
    <x v="115"/>
    <x v="61"/>
  </r>
  <r>
    <x v="21"/>
    <x v="90"/>
    <x v="1"/>
    <x v="20"/>
    <x v="19"/>
    <x v="1"/>
  </r>
  <r>
    <x v="21"/>
    <x v="5"/>
    <x v="1"/>
    <x v="131"/>
    <x v="116"/>
    <x v="106"/>
  </r>
  <r>
    <x v="13"/>
    <x v="75"/>
    <x v="0"/>
    <x v="132"/>
    <x v="117"/>
    <x v="107"/>
  </r>
  <r>
    <x v="13"/>
    <x v="52"/>
    <x v="1"/>
    <x v="1"/>
    <x v="1"/>
    <x v="1"/>
  </r>
  <r>
    <x v="13"/>
    <x v="76"/>
    <x v="1"/>
    <x v="133"/>
    <x v="118"/>
    <x v="108"/>
  </r>
  <r>
    <x v="14"/>
    <x v="76"/>
    <x v="0"/>
    <x v="1"/>
    <x v="1"/>
    <x v="1"/>
  </r>
  <r>
    <x v="14"/>
    <x v="74"/>
    <x v="0"/>
    <x v="134"/>
    <x v="1"/>
    <x v="1"/>
  </r>
  <r>
    <x v="14"/>
    <x v="91"/>
    <x v="0"/>
    <x v="1"/>
    <x v="1"/>
    <x v="1"/>
  </r>
  <r>
    <x v="14"/>
    <x v="91"/>
    <x v="1"/>
    <x v="135"/>
    <x v="37"/>
    <x v="1"/>
  </r>
  <r>
    <x v="15"/>
    <x v="75"/>
    <x v="0"/>
    <x v="136"/>
    <x v="119"/>
    <x v="109"/>
  </r>
  <r>
    <x v="15"/>
    <x v="24"/>
    <x v="1"/>
    <x v="1"/>
    <x v="1"/>
    <x v="1"/>
  </r>
  <r>
    <x v="15"/>
    <x v="14"/>
    <x v="1"/>
    <x v="137"/>
    <x v="120"/>
    <x v="110"/>
  </r>
  <r>
    <x v="16"/>
    <x v="8"/>
    <x v="1"/>
    <x v="138"/>
    <x v="121"/>
    <x v="111"/>
  </r>
  <r>
    <x v="16"/>
    <x v="54"/>
    <x v="1"/>
    <x v="10"/>
    <x v="43"/>
    <x v="1"/>
  </r>
  <r>
    <x v="16"/>
    <x v="60"/>
    <x v="1"/>
    <x v="10"/>
    <x v="43"/>
    <x v="1"/>
  </r>
  <r>
    <x v="16"/>
    <x v="14"/>
    <x v="0"/>
    <x v="139"/>
    <x v="122"/>
    <x v="112"/>
  </r>
  <r>
    <x v="17"/>
    <x v="92"/>
    <x v="1"/>
    <x v="46"/>
    <x v="123"/>
    <x v="6"/>
  </r>
  <r>
    <x v="17"/>
    <x v="93"/>
    <x v="1"/>
    <x v="140"/>
    <x v="124"/>
    <x v="113"/>
  </r>
  <r>
    <x v="17"/>
    <x v="86"/>
    <x v="1"/>
    <x v="141"/>
    <x v="125"/>
    <x v="114"/>
  </r>
  <r>
    <x v="17"/>
    <x v="83"/>
    <x v="0"/>
    <x v="142"/>
    <x v="126"/>
    <x v="115"/>
  </r>
  <r>
    <x v="17"/>
    <x v="48"/>
    <x v="1"/>
    <x v="143"/>
    <x v="44"/>
    <x v="1"/>
  </r>
  <r>
    <x v="18"/>
    <x v="41"/>
    <x v="0"/>
    <x v="144"/>
    <x v="127"/>
    <x v="116"/>
  </r>
  <r>
    <x v="19"/>
    <x v="71"/>
    <x v="1"/>
    <x v="23"/>
    <x v="82"/>
    <x v="32"/>
  </r>
  <r>
    <x v="0"/>
    <x v="94"/>
    <x v="0"/>
    <x v="145"/>
    <x v="19"/>
    <x v="2"/>
  </r>
  <r>
    <x v="20"/>
    <x v="94"/>
    <x v="0"/>
    <x v="146"/>
    <x v="128"/>
    <x v="117"/>
  </r>
  <r>
    <x v="20"/>
    <x v="12"/>
    <x v="1"/>
    <x v="95"/>
    <x v="129"/>
    <x v="118"/>
  </r>
  <r>
    <x v="20"/>
    <x v="49"/>
    <x v="1"/>
    <x v="147"/>
    <x v="130"/>
    <x v="64"/>
  </r>
  <r>
    <x v="20"/>
    <x v="93"/>
    <x v="1"/>
    <x v="148"/>
    <x v="131"/>
    <x v="119"/>
  </r>
  <r>
    <x v="1"/>
    <x v="11"/>
    <x v="0"/>
    <x v="149"/>
    <x v="132"/>
    <x v="120"/>
  </r>
  <r>
    <x v="2"/>
    <x v="62"/>
    <x v="1"/>
    <x v="150"/>
    <x v="19"/>
    <x v="9"/>
  </r>
  <r>
    <x v="3"/>
    <x v="40"/>
    <x v="0"/>
    <x v="1"/>
    <x v="1"/>
    <x v="1"/>
  </r>
  <r>
    <x v="4"/>
    <x v="3"/>
    <x v="0"/>
    <x v="151"/>
    <x v="19"/>
    <x v="1"/>
  </r>
  <r>
    <x v="4"/>
    <x v="3"/>
    <x v="1"/>
    <x v="152"/>
    <x v="19"/>
    <x v="1"/>
  </r>
  <r>
    <x v="4"/>
    <x v="95"/>
    <x v="1"/>
    <x v="50"/>
    <x v="9"/>
    <x v="9"/>
  </r>
  <r>
    <x v="4"/>
    <x v="96"/>
    <x v="1"/>
    <x v="153"/>
    <x v="133"/>
    <x v="121"/>
  </r>
  <r>
    <x v="4"/>
    <x v="97"/>
    <x v="1"/>
    <x v="154"/>
    <x v="134"/>
    <x v="122"/>
  </r>
  <r>
    <x v="5"/>
    <x v="94"/>
    <x v="0"/>
    <x v="155"/>
    <x v="9"/>
    <x v="46"/>
  </r>
  <r>
    <x v="5"/>
    <x v="41"/>
    <x v="1"/>
    <x v="156"/>
    <x v="135"/>
    <x v="123"/>
  </r>
  <r>
    <x v="6"/>
    <x v="94"/>
    <x v="1"/>
    <x v="157"/>
    <x v="9"/>
    <x v="2"/>
  </r>
  <r>
    <x v="6"/>
    <x v="95"/>
    <x v="1"/>
    <x v="158"/>
    <x v="136"/>
    <x v="115"/>
  </r>
  <r>
    <x v="7"/>
    <x v="74"/>
    <x v="0"/>
    <x v="159"/>
    <x v="2"/>
    <x v="46"/>
  </r>
  <r>
    <x v="7"/>
    <x v="7"/>
    <x v="1"/>
    <x v="160"/>
    <x v="137"/>
    <x v="124"/>
  </r>
  <r>
    <x v="9"/>
    <x v="69"/>
    <x v="1"/>
    <x v="161"/>
    <x v="138"/>
    <x v="125"/>
  </r>
  <r>
    <x v="9"/>
    <x v="7"/>
    <x v="1"/>
    <x v="162"/>
    <x v="139"/>
    <x v="126"/>
  </r>
  <r>
    <x v="10"/>
    <x v="98"/>
    <x v="0"/>
    <x v="163"/>
    <x v="44"/>
    <x v="1"/>
  </r>
  <r>
    <x v="10"/>
    <x v="99"/>
    <x v="1"/>
    <x v="164"/>
    <x v="1"/>
    <x v="2"/>
  </r>
  <r>
    <x v="10"/>
    <x v="100"/>
    <x v="0"/>
    <x v="147"/>
    <x v="130"/>
    <x v="22"/>
  </r>
  <r>
    <x v="11"/>
    <x v="55"/>
    <x v="1"/>
    <x v="24"/>
    <x v="46"/>
    <x v="127"/>
  </r>
  <r>
    <x v="11"/>
    <x v="60"/>
    <x v="1"/>
    <x v="8"/>
    <x v="25"/>
    <x v="1"/>
  </r>
  <r>
    <x v="12"/>
    <x v="92"/>
    <x v="1"/>
    <x v="165"/>
    <x v="140"/>
    <x v="12"/>
  </r>
  <r>
    <x v="12"/>
    <x v="101"/>
    <x v="0"/>
    <x v="166"/>
    <x v="141"/>
    <x v="128"/>
  </r>
  <r>
    <x v="21"/>
    <x v="94"/>
    <x v="1"/>
    <x v="167"/>
    <x v="25"/>
    <x v="21"/>
  </r>
  <r>
    <x v="21"/>
    <x v="102"/>
    <x v="1"/>
    <x v="1"/>
    <x v="1"/>
    <x v="1"/>
  </r>
  <r>
    <x v="13"/>
    <x v="43"/>
    <x v="1"/>
    <x v="168"/>
    <x v="142"/>
    <x v="129"/>
  </r>
  <r>
    <x v="13"/>
    <x v="57"/>
    <x v="1"/>
    <x v="169"/>
    <x v="143"/>
    <x v="130"/>
  </r>
  <r>
    <x v="13"/>
    <x v="60"/>
    <x v="1"/>
    <x v="20"/>
    <x v="19"/>
    <x v="1"/>
  </r>
  <r>
    <x v="13"/>
    <x v="103"/>
    <x v="0"/>
    <x v="82"/>
    <x v="144"/>
    <x v="76"/>
  </r>
  <r>
    <x v="15"/>
    <x v="26"/>
    <x v="0"/>
    <x v="25"/>
    <x v="145"/>
    <x v="32"/>
  </r>
  <r>
    <x v="15"/>
    <x v="37"/>
    <x v="1"/>
    <x v="170"/>
    <x v="2"/>
    <x v="9"/>
  </r>
  <r>
    <x v="15"/>
    <x v="62"/>
    <x v="1"/>
    <x v="171"/>
    <x v="19"/>
    <x v="2"/>
  </r>
  <r>
    <x v="15"/>
    <x v="69"/>
    <x v="1"/>
    <x v="172"/>
    <x v="146"/>
    <x v="131"/>
  </r>
  <r>
    <x v="15"/>
    <x v="68"/>
    <x v="1"/>
    <x v="173"/>
    <x v="147"/>
    <x v="132"/>
  </r>
  <r>
    <x v="15"/>
    <x v="104"/>
    <x v="1"/>
    <x v="174"/>
    <x v="148"/>
    <x v="133"/>
  </r>
  <r>
    <x v="16"/>
    <x v="17"/>
    <x v="1"/>
    <x v="8"/>
    <x v="25"/>
    <x v="21"/>
  </r>
  <r>
    <x v="16"/>
    <x v="90"/>
    <x v="1"/>
    <x v="135"/>
    <x v="128"/>
    <x v="1"/>
  </r>
  <r>
    <x v="16"/>
    <x v="69"/>
    <x v="0"/>
    <x v="93"/>
    <x v="2"/>
    <x v="9"/>
  </r>
  <r>
    <x v="16"/>
    <x v="48"/>
    <x v="0"/>
    <x v="175"/>
    <x v="44"/>
    <x v="1"/>
  </r>
  <r>
    <x v="17"/>
    <x v="5"/>
    <x v="1"/>
    <x v="176"/>
    <x v="149"/>
    <x v="134"/>
  </r>
  <r>
    <x v="17"/>
    <x v="105"/>
    <x v="1"/>
    <x v="20"/>
    <x v="19"/>
    <x v="1"/>
  </r>
  <r>
    <x v="17"/>
    <x v="99"/>
    <x v="1"/>
    <x v="93"/>
    <x v="44"/>
    <x v="1"/>
  </r>
  <r>
    <x v="17"/>
    <x v="91"/>
    <x v="1"/>
    <x v="177"/>
    <x v="92"/>
    <x v="135"/>
  </r>
  <r>
    <x v="18"/>
    <x v="8"/>
    <x v="1"/>
    <x v="178"/>
    <x v="150"/>
    <x v="136"/>
  </r>
  <r>
    <x v="18"/>
    <x v="12"/>
    <x v="1"/>
    <x v="179"/>
    <x v="151"/>
    <x v="137"/>
  </r>
  <r>
    <x v="18"/>
    <x v="24"/>
    <x v="1"/>
    <x v="20"/>
    <x v="19"/>
    <x v="2"/>
  </r>
  <r>
    <x v="19"/>
    <x v="74"/>
    <x v="1"/>
    <x v="180"/>
    <x v="44"/>
    <x v="1"/>
  </r>
  <r>
    <x v="0"/>
    <x v="49"/>
    <x v="1"/>
    <x v="181"/>
    <x v="152"/>
    <x v="138"/>
  </r>
  <r>
    <x v="0"/>
    <x v="106"/>
    <x v="1"/>
    <x v="1"/>
    <x v="44"/>
    <x v="1"/>
  </r>
  <r>
    <x v="20"/>
    <x v="79"/>
    <x v="0"/>
    <x v="10"/>
    <x v="43"/>
    <x v="39"/>
  </r>
  <r>
    <x v="20"/>
    <x v="85"/>
    <x v="1"/>
    <x v="182"/>
    <x v="153"/>
    <x v="139"/>
  </r>
  <r>
    <x v="1"/>
    <x v="96"/>
    <x v="0"/>
    <x v="183"/>
    <x v="154"/>
    <x v="140"/>
  </r>
  <r>
    <x v="1"/>
    <x v="107"/>
    <x v="1"/>
    <x v="184"/>
    <x v="155"/>
    <x v="141"/>
  </r>
  <r>
    <x v="2"/>
    <x v="11"/>
    <x v="0"/>
    <x v="185"/>
    <x v="156"/>
    <x v="142"/>
  </r>
  <r>
    <x v="2"/>
    <x v="108"/>
    <x v="0"/>
    <x v="20"/>
    <x v="19"/>
    <x v="9"/>
  </r>
  <r>
    <x v="3"/>
    <x v="0"/>
    <x v="1"/>
    <x v="186"/>
    <x v="157"/>
    <x v="143"/>
  </r>
  <r>
    <x v="3"/>
    <x v="27"/>
    <x v="0"/>
    <x v="50"/>
    <x v="9"/>
    <x v="9"/>
  </r>
  <r>
    <x v="3"/>
    <x v="73"/>
    <x v="0"/>
    <x v="38"/>
    <x v="38"/>
    <x v="144"/>
  </r>
  <r>
    <x v="5"/>
    <x v="62"/>
    <x v="0"/>
    <x v="187"/>
    <x v="2"/>
    <x v="9"/>
  </r>
  <r>
    <x v="5"/>
    <x v="109"/>
    <x v="1"/>
    <x v="188"/>
    <x v="158"/>
    <x v="145"/>
  </r>
  <r>
    <x v="5"/>
    <x v="79"/>
    <x v="1"/>
    <x v="189"/>
    <x v="6"/>
    <x v="146"/>
  </r>
  <r>
    <x v="5"/>
    <x v="97"/>
    <x v="0"/>
    <x v="190"/>
    <x v="159"/>
    <x v="147"/>
  </r>
  <r>
    <x v="6"/>
    <x v="19"/>
    <x v="1"/>
    <x v="191"/>
    <x v="160"/>
    <x v="148"/>
  </r>
  <r>
    <x v="6"/>
    <x v="40"/>
    <x v="1"/>
    <x v="192"/>
    <x v="161"/>
    <x v="149"/>
  </r>
  <r>
    <x v="7"/>
    <x v="78"/>
    <x v="1"/>
    <x v="20"/>
    <x v="19"/>
    <x v="1"/>
  </r>
  <r>
    <x v="7"/>
    <x v="100"/>
    <x v="1"/>
    <x v="50"/>
    <x v="9"/>
    <x v="9"/>
  </r>
  <r>
    <x v="8"/>
    <x v="74"/>
    <x v="0"/>
    <x v="193"/>
    <x v="19"/>
    <x v="2"/>
  </r>
  <r>
    <x v="8"/>
    <x v="74"/>
    <x v="1"/>
    <x v="194"/>
    <x v="44"/>
    <x v="1"/>
  </r>
  <r>
    <x v="9"/>
    <x v="110"/>
    <x v="1"/>
    <x v="195"/>
    <x v="8"/>
    <x v="10"/>
  </r>
  <r>
    <x v="10"/>
    <x v="78"/>
    <x v="1"/>
    <x v="196"/>
    <x v="162"/>
    <x v="150"/>
  </r>
  <r>
    <x v="10"/>
    <x v="98"/>
    <x v="1"/>
    <x v="197"/>
    <x v="44"/>
    <x v="1"/>
  </r>
  <r>
    <x v="11"/>
    <x v="21"/>
    <x v="0"/>
    <x v="1"/>
    <x v="1"/>
    <x v="1"/>
  </r>
  <r>
    <x v="11"/>
    <x v="16"/>
    <x v="0"/>
    <x v="198"/>
    <x v="130"/>
    <x v="2"/>
  </r>
  <r>
    <x v="11"/>
    <x v="48"/>
    <x v="1"/>
    <x v="199"/>
    <x v="44"/>
    <x v="1"/>
  </r>
  <r>
    <x v="12"/>
    <x v="16"/>
    <x v="1"/>
    <x v="8"/>
    <x v="44"/>
    <x v="1"/>
  </r>
  <r>
    <x v="12"/>
    <x v="103"/>
    <x v="1"/>
    <x v="200"/>
    <x v="163"/>
    <x v="40"/>
  </r>
  <r>
    <x v="21"/>
    <x v="111"/>
    <x v="1"/>
    <x v="201"/>
    <x v="44"/>
    <x v="1"/>
  </r>
  <r>
    <x v="13"/>
    <x v="24"/>
    <x v="1"/>
    <x v="1"/>
    <x v="1"/>
    <x v="1"/>
  </r>
  <r>
    <x v="13"/>
    <x v="99"/>
    <x v="0"/>
    <x v="62"/>
    <x v="44"/>
    <x v="1"/>
  </r>
  <r>
    <x v="14"/>
    <x v="8"/>
    <x v="0"/>
    <x v="116"/>
    <x v="103"/>
    <x v="151"/>
  </r>
  <r>
    <x v="14"/>
    <x v="112"/>
    <x v="1"/>
    <x v="202"/>
    <x v="164"/>
    <x v="152"/>
  </r>
  <r>
    <x v="14"/>
    <x v="69"/>
    <x v="0"/>
    <x v="203"/>
    <x v="165"/>
    <x v="100"/>
  </r>
  <r>
    <x v="14"/>
    <x v="71"/>
    <x v="0"/>
    <x v="204"/>
    <x v="135"/>
    <x v="100"/>
  </r>
  <r>
    <x v="15"/>
    <x v="105"/>
    <x v="1"/>
    <x v="1"/>
    <x v="1"/>
    <x v="1"/>
  </r>
  <r>
    <x v="15"/>
    <x v="100"/>
    <x v="1"/>
    <x v="198"/>
    <x v="166"/>
    <x v="49"/>
  </r>
  <r>
    <x v="16"/>
    <x v="113"/>
    <x v="1"/>
    <x v="10"/>
    <x v="43"/>
    <x v="1"/>
  </r>
  <r>
    <x v="16"/>
    <x v="81"/>
    <x v="1"/>
    <x v="205"/>
    <x v="167"/>
    <x v="153"/>
  </r>
  <r>
    <x v="16"/>
    <x v="5"/>
    <x v="1"/>
    <x v="206"/>
    <x v="168"/>
    <x v="154"/>
  </r>
  <r>
    <x v="16"/>
    <x v="14"/>
    <x v="1"/>
    <x v="207"/>
    <x v="169"/>
    <x v="155"/>
  </r>
  <r>
    <x v="17"/>
    <x v="26"/>
    <x v="0"/>
    <x v="38"/>
    <x v="170"/>
    <x v="40"/>
  </r>
  <r>
    <x v="17"/>
    <x v="63"/>
    <x v="1"/>
    <x v="208"/>
    <x v="171"/>
    <x v="156"/>
  </r>
  <r>
    <x v="17"/>
    <x v="114"/>
    <x v="0"/>
    <x v="209"/>
    <x v="44"/>
    <x v="1"/>
  </r>
  <r>
    <x v="17"/>
    <x v="71"/>
    <x v="0"/>
    <x v="210"/>
    <x v="172"/>
    <x v="141"/>
  </r>
  <r>
    <x v="18"/>
    <x v="79"/>
    <x v="0"/>
    <x v="211"/>
    <x v="128"/>
    <x v="117"/>
  </r>
  <r>
    <x v="18"/>
    <x v="53"/>
    <x v="1"/>
    <x v="1"/>
    <x v="1"/>
    <x v="1"/>
  </r>
  <r>
    <x v="18"/>
    <x v="71"/>
    <x v="0"/>
    <x v="141"/>
    <x v="125"/>
    <x v="157"/>
  </r>
  <r>
    <x v="18"/>
    <x v="91"/>
    <x v="1"/>
    <x v="1"/>
    <x v="1"/>
    <x v="2"/>
  </r>
  <r>
    <x v="19"/>
    <x v="54"/>
    <x v="1"/>
    <x v="50"/>
    <x v="9"/>
    <x v="1"/>
  </r>
  <r>
    <x v="19"/>
    <x v="101"/>
    <x v="0"/>
    <x v="212"/>
    <x v="173"/>
    <x v="158"/>
  </r>
  <r>
    <x v="19"/>
    <x v="102"/>
    <x v="1"/>
    <x v="50"/>
    <x v="9"/>
    <x v="1"/>
  </r>
  <r>
    <x v="19"/>
    <x v="83"/>
    <x v="1"/>
    <x v="213"/>
    <x v="174"/>
    <x v="159"/>
  </r>
  <r>
    <x v="0"/>
    <x v="69"/>
    <x v="1"/>
    <x v="214"/>
    <x v="175"/>
    <x v="160"/>
  </r>
  <r>
    <x v="0"/>
    <x v="97"/>
    <x v="0"/>
    <x v="215"/>
    <x v="176"/>
    <x v="161"/>
  </r>
  <r>
    <x v="20"/>
    <x v="23"/>
    <x v="1"/>
    <x v="216"/>
    <x v="20"/>
    <x v="32"/>
  </r>
  <r>
    <x v="20"/>
    <x v="38"/>
    <x v="1"/>
    <x v="17"/>
    <x v="16"/>
    <x v="162"/>
  </r>
  <r>
    <x v="1"/>
    <x v="115"/>
    <x v="1"/>
    <x v="217"/>
    <x v="177"/>
    <x v="163"/>
  </r>
  <r>
    <x v="2"/>
    <x v="116"/>
    <x v="0"/>
    <x v="218"/>
    <x v="44"/>
    <x v="1"/>
  </r>
  <r>
    <x v="2"/>
    <x v="68"/>
    <x v="1"/>
    <x v="219"/>
    <x v="178"/>
    <x v="164"/>
  </r>
  <r>
    <x v="2"/>
    <x v="76"/>
    <x v="1"/>
    <x v="220"/>
    <x v="179"/>
    <x v="165"/>
  </r>
  <r>
    <x v="3"/>
    <x v="3"/>
    <x v="0"/>
    <x v="221"/>
    <x v="25"/>
    <x v="1"/>
  </r>
  <r>
    <x v="3"/>
    <x v="4"/>
    <x v="0"/>
    <x v="222"/>
    <x v="180"/>
    <x v="166"/>
  </r>
  <r>
    <x v="4"/>
    <x v="70"/>
    <x v="1"/>
    <x v="55"/>
    <x v="85"/>
    <x v="117"/>
  </r>
  <r>
    <x v="5"/>
    <x v="94"/>
    <x v="1"/>
    <x v="223"/>
    <x v="9"/>
    <x v="46"/>
  </r>
  <r>
    <x v="5"/>
    <x v="30"/>
    <x v="0"/>
    <x v="224"/>
    <x v="181"/>
    <x v="167"/>
  </r>
  <r>
    <x v="5"/>
    <x v="107"/>
    <x v="1"/>
    <x v="225"/>
    <x v="182"/>
    <x v="136"/>
  </r>
  <r>
    <x v="5"/>
    <x v="7"/>
    <x v="1"/>
    <x v="226"/>
    <x v="34"/>
    <x v="168"/>
  </r>
  <r>
    <x v="6"/>
    <x v="66"/>
    <x v="0"/>
    <x v="93"/>
    <x v="2"/>
    <x v="2"/>
  </r>
  <r>
    <x v="7"/>
    <x v="116"/>
    <x v="0"/>
    <x v="227"/>
    <x v="1"/>
    <x v="1"/>
  </r>
  <r>
    <x v="7"/>
    <x v="0"/>
    <x v="0"/>
    <x v="228"/>
    <x v="183"/>
    <x v="169"/>
  </r>
  <r>
    <x v="7"/>
    <x v="30"/>
    <x v="0"/>
    <x v="62"/>
    <x v="163"/>
    <x v="117"/>
  </r>
  <r>
    <x v="8"/>
    <x v="79"/>
    <x v="0"/>
    <x v="229"/>
    <x v="128"/>
    <x v="30"/>
  </r>
  <r>
    <x v="8"/>
    <x v="97"/>
    <x v="0"/>
    <x v="230"/>
    <x v="184"/>
    <x v="170"/>
  </r>
  <r>
    <x v="10"/>
    <x v="117"/>
    <x v="1"/>
    <x v="1"/>
    <x v="44"/>
    <x v="1"/>
  </r>
  <r>
    <x v="10"/>
    <x v="57"/>
    <x v="1"/>
    <x v="231"/>
    <x v="185"/>
    <x v="171"/>
  </r>
  <r>
    <x v="11"/>
    <x v="27"/>
    <x v="1"/>
    <x v="232"/>
    <x v="186"/>
    <x v="100"/>
  </r>
  <r>
    <x v="11"/>
    <x v="29"/>
    <x v="0"/>
    <x v="233"/>
    <x v="187"/>
    <x v="172"/>
  </r>
  <r>
    <x v="11"/>
    <x v="118"/>
    <x v="1"/>
    <x v="234"/>
    <x v="188"/>
    <x v="173"/>
  </r>
  <r>
    <x v="11"/>
    <x v="14"/>
    <x v="1"/>
    <x v="235"/>
    <x v="189"/>
    <x v="174"/>
  </r>
  <r>
    <x v="12"/>
    <x v="61"/>
    <x v="1"/>
    <x v="236"/>
    <x v="190"/>
    <x v="175"/>
  </r>
  <r>
    <x v="12"/>
    <x v="29"/>
    <x v="1"/>
    <x v="30"/>
    <x v="9"/>
    <x v="1"/>
  </r>
  <r>
    <x v="13"/>
    <x v="19"/>
    <x v="1"/>
    <x v="73"/>
    <x v="67"/>
    <x v="8"/>
  </r>
  <r>
    <x v="13"/>
    <x v="88"/>
    <x v="0"/>
    <x v="237"/>
    <x v="191"/>
    <x v="176"/>
  </r>
  <r>
    <x v="13"/>
    <x v="5"/>
    <x v="0"/>
    <x v="234"/>
    <x v="188"/>
    <x v="159"/>
  </r>
  <r>
    <x v="14"/>
    <x v="75"/>
    <x v="0"/>
    <x v="238"/>
    <x v="192"/>
    <x v="177"/>
  </r>
  <r>
    <x v="14"/>
    <x v="8"/>
    <x v="1"/>
    <x v="239"/>
    <x v="193"/>
    <x v="178"/>
  </r>
  <r>
    <x v="14"/>
    <x v="119"/>
    <x v="1"/>
    <x v="1"/>
    <x v="1"/>
    <x v="1"/>
  </r>
  <r>
    <x v="15"/>
    <x v="78"/>
    <x v="1"/>
    <x v="240"/>
    <x v="194"/>
    <x v="179"/>
  </r>
  <r>
    <x v="15"/>
    <x v="53"/>
    <x v="1"/>
    <x v="1"/>
    <x v="1"/>
    <x v="1"/>
  </r>
  <r>
    <x v="15"/>
    <x v="86"/>
    <x v="0"/>
    <x v="241"/>
    <x v="144"/>
    <x v="6"/>
  </r>
  <r>
    <x v="15"/>
    <x v="60"/>
    <x v="1"/>
    <x v="1"/>
    <x v="1"/>
    <x v="1"/>
  </r>
  <r>
    <x v="16"/>
    <x v="3"/>
    <x v="0"/>
    <x v="242"/>
    <x v="25"/>
    <x v="9"/>
  </r>
  <r>
    <x v="16"/>
    <x v="84"/>
    <x v="0"/>
    <x v="243"/>
    <x v="95"/>
    <x v="127"/>
  </r>
  <r>
    <x v="16"/>
    <x v="80"/>
    <x v="1"/>
    <x v="244"/>
    <x v="195"/>
    <x v="180"/>
  </r>
  <r>
    <x v="16"/>
    <x v="86"/>
    <x v="1"/>
    <x v="245"/>
    <x v="196"/>
    <x v="181"/>
  </r>
  <r>
    <x v="17"/>
    <x v="33"/>
    <x v="0"/>
    <x v="246"/>
    <x v="197"/>
    <x v="49"/>
  </r>
  <r>
    <x v="17"/>
    <x v="69"/>
    <x v="1"/>
    <x v="247"/>
    <x v="70"/>
    <x v="133"/>
  </r>
  <r>
    <x v="17"/>
    <x v="84"/>
    <x v="1"/>
    <x v="248"/>
    <x v="198"/>
    <x v="10"/>
  </r>
  <r>
    <x v="17"/>
    <x v="38"/>
    <x v="1"/>
    <x v="249"/>
    <x v="199"/>
    <x v="138"/>
  </r>
  <r>
    <x v="18"/>
    <x v="36"/>
    <x v="1"/>
    <x v="1"/>
    <x v="1"/>
    <x v="1"/>
  </r>
  <r>
    <x v="18"/>
    <x v="18"/>
    <x v="1"/>
    <x v="1"/>
    <x v="1"/>
    <x v="1"/>
  </r>
  <r>
    <x v="18"/>
    <x v="120"/>
    <x v="0"/>
    <x v="116"/>
    <x v="103"/>
    <x v="182"/>
  </r>
  <r>
    <x v="18"/>
    <x v="40"/>
    <x v="1"/>
    <x v="50"/>
    <x v="9"/>
    <x v="9"/>
  </r>
  <r>
    <x v="18"/>
    <x v="86"/>
    <x v="1"/>
    <x v="250"/>
    <x v="200"/>
    <x v="183"/>
  </r>
  <r>
    <x v="18"/>
    <x v="48"/>
    <x v="1"/>
    <x v="251"/>
    <x v="44"/>
    <x v="1"/>
  </r>
  <r>
    <x v="0"/>
    <x v="116"/>
    <x v="0"/>
    <x v="252"/>
    <x v="19"/>
    <x v="1"/>
  </r>
  <r>
    <x v="0"/>
    <x v="76"/>
    <x v="1"/>
    <x v="247"/>
    <x v="70"/>
    <x v="184"/>
  </r>
  <r>
    <x v="20"/>
    <x v="74"/>
    <x v="0"/>
    <x v="253"/>
    <x v="19"/>
    <x v="2"/>
  </r>
  <r>
    <x v="1"/>
    <x v="85"/>
    <x v="1"/>
    <x v="254"/>
    <x v="201"/>
    <x v="108"/>
  </r>
  <r>
    <x v="1"/>
    <x v="97"/>
    <x v="1"/>
    <x v="255"/>
    <x v="202"/>
    <x v="185"/>
  </r>
  <r>
    <x v="2"/>
    <x v="64"/>
    <x v="1"/>
    <x v="256"/>
    <x v="203"/>
    <x v="186"/>
  </r>
  <r>
    <x v="2"/>
    <x v="33"/>
    <x v="0"/>
    <x v="257"/>
    <x v="204"/>
    <x v="187"/>
  </r>
  <r>
    <x v="2"/>
    <x v="65"/>
    <x v="1"/>
    <x v="258"/>
    <x v="205"/>
    <x v="188"/>
  </r>
  <r>
    <x v="2"/>
    <x v="55"/>
    <x v="1"/>
    <x v="54"/>
    <x v="49"/>
    <x v="127"/>
  </r>
  <r>
    <x v="2"/>
    <x v="6"/>
    <x v="0"/>
    <x v="259"/>
    <x v="206"/>
    <x v="19"/>
  </r>
  <r>
    <x v="4"/>
    <x v="37"/>
    <x v="0"/>
    <x v="260"/>
    <x v="44"/>
    <x v="1"/>
  </r>
  <r>
    <x v="5"/>
    <x v="3"/>
    <x v="1"/>
    <x v="261"/>
    <x v="19"/>
    <x v="1"/>
  </r>
  <r>
    <x v="5"/>
    <x v="51"/>
    <x v="1"/>
    <x v="211"/>
    <x v="207"/>
    <x v="189"/>
  </r>
  <r>
    <x v="6"/>
    <x v="65"/>
    <x v="0"/>
    <x v="200"/>
    <x v="24"/>
    <x v="42"/>
  </r>
  <r>
    <x v="6"/>
    <x v="105"/>
    <x v="1"/>
    <x v="50"/>
    <x v="19"/>
    <x v="9"/>
  </r>
  <r>
    <x v="7"/>
    <x v="92"/>
    <x v="1"/>
    <x v="262"/>
    <x v="208"/>
    <x v="16"/>
  </r>
  <r>
    <x v="8"/>
    <x v="13"/>
    <x v="0"/>
    <x v="263"/>
    <x v="128"/>
    <x v="9"/>
  </r>
  <r>
    <x v="8"/>
    <x v="121"/>
    <x v="1"/>
    <x v="20"/>
    <x v="19"/>
    <x v="2"/>
  </r>
  <r>
    <x v="8"/>
    <x v="71"/>
    <x v="1"/>
    <x v="264"/>
    <x v="209"/>
    <x v="190"/>
  </r>
  <r>
    <x v="8"/>
    <x v="86"/>
    <x v="0"/>
    <x v="265"/>
    <x v="210"/>
    <x v="191"/>
  </r>
  <r>
    <x v="9"/>
    <x v="113"/>
    <x v="1"/>
    <x v="8"/>
    <x v="25"/>
    <x v="1"/>
  </r>
  <r>
    <x v="9"/>
    <x v="9"/>
    <x v="0"/>
    <x v="266"/>
    <x v="37"/>
    <x v="30"/>
  </r>
  <r>
    <x v="9"/>
    <x v="115"/>
    <x v="0"/>
    <x v="1"/>
    <x v="1"/>
    <x v="1"/>
  </r>
  <r>
    <x v="9"/>
    <x v="99"/>
    <x v="0"/>
    <x v="267"/>
    <x v="44"/>
    <x v="1"/>
  </r>
  <r>
    <x v="9"/>
    <x v="25"/>
    <x v="0"/>
    <x v="1"/>
    <x v="1"/>
    <x v="2"/>
  </r>
  <r>
    <x v="10"/>
    <x v="122"/>
    <x v="0"/>
    <x v="1"/>
    <x v="44"/>
    <x v="1"/>
  </r>
  <r>
    <x v="10"/>
    <x v="23"/>
    <x v="1"/>
    <x v="268"/>
    <x v="211"/>
    <x v="61"/>
  </r>
  <r>
    <x v="10"/>
    <x v="110"/>
    <x v="1"/>
    <x v="269"/>
    <x v="10"/>
    <x v="20"/>
  </r>
  <r>
    <x v="10"/>
    <x v="56"/>
    <x v="0"/>
    <x v="10"/>
    <x v="30"/>
    <x v="46"/>
  </r>
  <r>
    <x v="11"/>
    <x v="32"/>
    <x v="0"/>
    <x v="270"/>
    <x v="212"/>
    <x v="192"/>
  </r>
  <r>
    <x v="11"/>
    <x v="98"/>
    <x v="0"/>
    <x v="271"/>
    <x v="44"/>
    <x v="1"/>
  </r>
  <r>
    <x v="12"/>
    <x v="123"/>
    <x v="1"/>
    <x v="1"/>
    <x v="1"/>
    <x v="1"/>
  </r>
  <r>
    <x v="21"/>
    <x v="28"/>
    <x v="0"/>
    <x v="272"/>
    <x v="213"/>
    <x v="40"/>
  </r>
  <r>
    <x v="21"/>
    <x v="101"/>
    <x v="0"/>
    <x v="263"/>
    <x v="197"/>
    <x v="49"/>
  </r>
  <r>
    <x v="21"/>
    <x v="29"/>
    <x v="1"/>
    <x v="59"/>
    <x v="25"/>
    <x v="1"/>
  </r>
  <r>
    <x v="21"/>
    <x v="86"/>
    <x v="0"/>
    <x v="273"/>
    <x v="214"/>
    <x v="193"/>
  </r>
  <r>
    <x v="13"/>
    <x v="103"/>
    <x v="1"/>
    <x v="200"/>
    <x v="215"/>
    <x v="14"/>
  </r>
  <r>
    <x v="14"/>
    <x v="31"/>
    <x v="0"/>
    <x v="24"/>
    <x v="23"/>
    <x v="162"/>
  </r>
  <r>
    <x v="15"/>
    <x v="80"/>
    <x v="0"/>
    <x v="274"/>
    <x v="216"/>
    <x v="106"/>
  </r>
  <r>
    <x v="15"/>
    <x v="47"/>
    <x v="0"/>
    <x v="1"/>
    <x v="1"/>
    <x v="2"/>
  </r>
  <r>
    <x v="16"/>
    <x v="28"/>
    <x v="0"/>
    <x v="1"/>
    <x v="44"/>
    <x v="1"/>
  </r>
  <r>
    <x v="16"/>
    <x v="124"/>
    <x v="0"/>
    <x v="275"/>
    <x v="217"/>
    <x v="194"/>
  </r>
  <r>
    <x v="18"/>
    <x v="116"/>
    <x v="0"/>
    <x v="276"/>
    <x v="25"/>
    <x v="2"/>
  </r>
  <r>
    <x v="18"/>
    <x v="30"/>
    <x v="0"/>
    <x v="277"/>
    <x v="218"/>
    <x v="195"/>
  </r>
  <r>
    <x v="19"/>
    <x v="36"/>
    <x v="1"/>
    <x v="59"/>
    <x v="37"/>
    <x v="1"/>
  </r>
  <r>
    <x v="19"/>
    <x v="48"/>
    <x v="1"/>
    <x v="278"/>
    <x v="44"/>
    <x v="1"/>
  </r>
  <r>
    <x v="0"/>
    <x v="116"/>
    <x v="1"/>
    <x v="279"/>
    <x v="1"/>
    <x v="2"/>
  </r>
  <r>
    <x v="0"/>
    <x v="47"/>
    <x v="1"/>
    <x v="280"/>
    <x v="219"/>
    <x v="196"/>
  </r>
  <r>
    <x v="20"/>
    <x v="118"/>
    <x v="1"/>
    <x v="281"/>
    <x v="220"/>
    <x v="47"/>
  </r>
  <r>
    <x v="20"/>
    <x v="74"/>
    <x v="1"/>
    <x v="282"/>
    <x v="44"/>
    <x v="1"/>
  </r>
  <r>
    <x v="1"/>
    <x v="125"/>
    <x v="1"/>
    <x v="283"/>
    <x v="221"/>
    <x v="197"/>
  </r>
  <r>
    <x v="1"/>
    <x v="70"/>
    <x v="0"/>
    <x v="284"/>
    <x v="19"/>
    <x v="1"/>
  </r>
  <r>
    <x v="3"/>
    <x v="33"/>
    <x v="1"/>
    <x v="285"/>
    <x v="222"/>
    <x v="198"/>
  </r>
  <r>
    <x v="3"/>
    <x v="76"/>
    <x v="0"/>
    <x v="34"/>
    <x v="223"/>
    <x v="199"/>
  </r>
  <r>
    <x v="3"/>
    <x v="14"/>
    <x v="0"/>
    <x v="286"/>
    <x v="224"/>
    <x v="200"/>
  </r>
  <r>
    <x v="4"/>
    <x v="75"/>
    <x v="1"/>
    <x v="287"/>
    <x v="225"/>
    <x v="201"/>
  </r>
  <r>
    <x v="4"/>
    <x v="126"/>
    <x v="1"/>
    <x v="30"/>
    <x v="19"/>
    <x v="1"/>
  </r>
  <r>
    <x v="4"/>
    <x v="127"/>
    <x v="1"/>
    <x v="288"/>
    <x v="41"/>
    <x v="93"/>
  </r>
  <r>
    <x v="6"/>
    <x v="20"/>
    <x v="1"/>
    <x v="77"/>
    <x v="226"/>
    <x v="81"/>
  </r>
  <r>
    <x v="6"/>
    <x v="55"/>
    <x v="1"/>
    <x v="289"/>
    <x v="227"/>
    <x v="202"/>
  </r>
  <r>
    <x v="6"/>
    <x v="93"/>
    <x v="1"/>
    <x v="290"/>
    <x v="228"/>
    <x v="203"/>
  </r>
  <r>
    <x v="7"/>
    <x v="102"/>
    <x v="1"/>
    <x v="20"/>
    <x v="19"/>
    <x v="2"/>
  </r>
  <r>
    <x v="7"/>
    <x v="38"/>
    <x v="1"/>
    <x v="291"/>
    <x v="229"/>
    <x v="204"/>
  </r>
  <r>
    <x v="8"/>
    <x v="26"/>
    <x v="0"/>
    <x v="292"/>
    <x v="230"/>
    <x v="205"/>
  </r>
  <r>
    <x v="8"/>
    <x v="87"/>
    <x v="1"/>
    <x v="293"/>
    <x v="231"/>
    <x v="35"/>
  </r>
  <r>
    <x v="8"/>
    <x v="12"/>
    <x v="0"/>
    <x v="294"/>
    <x v="232"/>
    <x v="91"/>
  </r>
  <r>
    <x v="9"/>
    <x v="71"/>
    <x v="1"/>
    <x v="295"/>
    <x v="233"/>
    <x v="206"/>
  </r>
  <r>
    <x v="10"/>
    <x v="3"/>
    <x v="0"/>
    <x v="296"/>
    <x v="1"/>
    <x v="1"/>
  </r>
  <r>
    <x v="10"/>
    <x v="12"/>
    <x v="0"/>
    <x v="297"/>
    <x v="165"/>
    <x v="25"/>
  </r>
  <r>
    <x v="10"/>
    <x v="88"/>
    <x v="1"/>
    <x v="298"/>
    <x v="234"/>
    <x v="207"/>
  </r>
  <r>
    <x v="10"/>
    <x v="21"/>
    <x v="0"/>
    <x v="93"/>
    <x v="25"/>
    <x v="2"/>
  </r>
  <r>
    <x v="10"/>
    <x v="25"/>
    <x v="0"/>
    <x v="299"/>
    <x v="1"/>
    <x v="1"/>
  </r>
  <r>
    <x v="10"/>
    <x v="128"/>
    <x v="0"/>
    <x v="20"/>
    <x v="19"/>
    <x v="2"/>
  </r>
  <r>
    <x v="11"/>
    <x v="98"/>
    <x v="1"/>
    <x v="300"/>
    <x v="44"/>
    <x v="1"/>
  </r>
  <r>
    <x v="11"/>
    <x v="1"/>
    <x v="1"/>
    <x v="8"/>
    <x v="25"/>
    <x v="1"/>
  </r>
  <r>
    <x v="12"/>
    <x v="116"/>
    <x v="0"/>
    <x v="301"/>
    <x v="9"/>
    <x v="46"/>
  </r>
  <r>
    <x v="12"/>
    <x v="110"/>
    <x v="1"/>
    <x v="302"/>
    <x v="63"/>
    <x v="208"/>
  </r>
  <r>
    <x v="12"/>
    <x v="14"/>
    <x v="1"/>
    <x v="303"/>
    <x v="235"/>
    <x v="209"/>
  </r>
  <r>
    <x v="21"/>
    <x v="8"/>
    <x v="0"/>
    <x v="289"/>
    <x v="75"/>
    <x v="210"/>
  </r>
  <r>
    <x v="21"/>
    <x v="12"/>
    <x v="0"/>
    <x v="304"/>
    <x v="236"/>
    <x v="211"/>
  </r>
  <r>
    <x v="21"/>
    <x v="13"/>
    <x v="0"/>
    <x v="305"/>
    <x v="197"/>
    <x v="49"/>
  </r>
  <r>
    <x v="21"/>
    <x v="53"/>
    <x v="1"/>
    <x v="20"/>
    <x v="19"/>
    <x v="1"/>
  </r>
  <r>
    <x v="14"/>
    <x v="94"/>
    <x v="1"/>
    <x v="306"/>
    <x v="19"/>
    <x v="9"/>
  </r>
  <r>
    <x v="14"/>
    <x v="59"/>
    <x v="1"/>
    <x v="15"/>
    <x v="43"/>
    <x v="21"/>
  </r>
  <r>
    <x v="14"/>
    <x v="101"/>
    <x v="1"/>
    <x v="307"/>
    <x v="237"/>
    <x v="212"/>
  </r>
  <r>
    <x v="14"/>
    <x v="120"/>
    <x v="0"/>
    <x v="308"/>
    <x v="238"/>
    <x v="139"/>
  </r>
  <r>
    <x v="14"/>
    <x v="48"/>
    <x v="0"/>
    <x v="309"/>
    <x v="44"/>
    <x v="1"/>
  </r>
  <r>
    <x v="16"/>
    <x v="30"/>
    <x v="1"/>
    <x v="123"/>
    <x v="108"/>
    <x v="213"/>
  </r>
  <r>
    <x v="16"/>
    <x v="110"/>
    <x v="1"/>
    <x v="310"/>
    <x v="46"/>
    <x v="64"/>
  </r>
  <r>
    <x v="18"/>
    <x v="115"/>
    <x v="1"/>
    <x v="311"/>
    <x v="239"/>
    <x v="214"/>
  </r>
  <r>
    <x v="18"/>
    <x v="129"/>
    <x v="0"/>
    <x v="312"/>
    <x v="240"/>
    <x v="215"/>
  </r>
  <r>
    <x v="19"/>
    <x v="88"/>
    <x v="1"/>
    <x v="313"/>
    <x v="241"/>
    <x v="216"/>
  </r>
  <r>
    <x v="19"/>
    <x v="78"/>
    <x v="1"/>
    <x v="50"/>
    <x v="9"/>
    <x v="1"/>
  </r>
  <r>
    <x v="19"/>
    <x v="120"/>
    <x v="1"/>
    <x v="314"/>
    <x v="242"/>
    <x v="39"/>
  </r>
  <r>
    <x v="0"/>
    <x v="59"/>
    <x v="1"/>
    <x v="59"/>
    <x v="1"/>
    <x v="1"/>
  </r>
  <r>
    <x v="0"/>
    <x v="5"/>
    <x v="0"/>
    <x v="315"/>
    <x v="243"/>
    <x v="217"/>
  </r>
  <r>
    <x v="0"/>
    <x v="130"/>
    <x v="1"/>
    <x v="1"/>
    <x v="1"/>
    <x v="2"/>
  </r>
  <r>
    <x v="0"/>
    <x v="6"/>
    <x v="0"/>
    <x v="316"/>
    <x v="244"/>
    <x v="218"/>
  </r>
  <r>
    <x v="0"/>
    <x v="48"/>
    <x v="1"/>
    <x v="317"/>
    <x v="44"/>
    <x v="1"/>
  </r>
  <r>
    <x v="1"/>
    <x v="12"/>
    <x v="1"/>
    <x v="318"/>
    <x v="245"/>
    <x v="219"/>
  </r>
  <r>
    <x v="2"/>
    <x v="131"/>
    <x v="1"/>
    <x v="20"/>
    <x v="1"/>
    <x v="2"/>
  </r>
  <r>
    <x v="3"/>
    <x v="10"/>
    <x v="1"/>
    <x v="78"/>
    <x v="246"/>
    <x v="220"/>
  </r>
  <r>
    <x v="3"/>
    <x v="132"/>
    <x v="0"/>
    <x v="319"/>
    <x v="247"/>
    <x v="117"/>
  </r>
  <r>
    <x v="4"/>
    <x v="47"/>
    <x v="1"/>
    <x v="320"/>
    <x v="248"/>
    <x v="221"/>
  </r>
  <r>
    <x v="5"/>
    <x v="50"/>
    <x v="1"/>
    <x v="321"/>
    <x v="249"/>
    <x v="222"/>
  </r>
  <r>
    <x v="5"/>
    <x v="133"/>
    <x v="0"/>
    <x v="15"/>
    <x v="9"/>
    <x v="9"/>
  </r>
  <r>
    <x v="5"/>
    <x v="85"/>
    <x v="1"/>
    <x v="20"/>
    <x v="19"/>
    <x v="1"/>
  </r>
  <r>
    <x v="6"/>
    <x v="75"/>
    <x v="0"/>
    <x v="322"/>
    <x v="250"/>
    <x v="223"/>
  </r>
  <r>
    <x v="6"/>
    <x v="30"/>
    <x v="1"/>
    <x v="323"/>
    <x v="251"/>
    <x v="224"/>
  </r>
  <r>
    <x v="6"/>
    <x v="73"/>
    <x v="1"/>
    <x v="324"/>
    <x v="252"/>
    <x v="86"/>
  </r>
  <r>
    <x v="6"/>
    <x v="102"/>
    <x v="1"/>
    <x v="50"/>
    <x v="19"/>
    <x v="9"/>
  </r>
  <r>
    <x v="7"/>
    <x v="26"/>
    <x v="1"/>
    <x v="325"/>
    <x v="253"/>
    <x v="225"/>
  </r>
  <r>
    <x v="7"/>
    <x v="93"/>
    <x v="0"/>
    <x v="326"/>
    <x v="254"/>
    <x v="12"/>
  </r>
  <r>
    <x v="7"/>
    <x v="93"/>
    <x v="1"/>
    <x v="327"/>
    <x v="255"/>
    <x v="226"/>
  </r>
  <r>
    <x v="7"/>
    <x v="134"/>
    <x v="1"/>
    <x v="262"/>
    <x v="6"/>
    <x v="227"/>
  </r>
  <r>
    <x v="7"/>
    <x v="40"/>
    <x v="1"/>
    <x v="328"/>
    <x v="256"/>
    <x v="228"/>
  </r>
  <r>
    <x v="7"/>
    <x v="16"/>
    <x v="0"/>
    <x v="1"/>
    <x v="1"/>
    <x v="1"/>
  </r>
  <r>
    <x v="7"/>
    <x v="48"/>
    <x v="1"/>
    <x v="329"/>
    <x v="44"/>
    <x v="1"/>
  </r>
  <r>
    <x v="8"/>
    <x v="20"/>
    <x v="1"/>
    <x v="168"/>
    <x v="142"/>
    <x v="229"/>
  </r>
  <r>
    <x v="9"/>
    <x v="135"/>
    <x v="1"/>
    <x v="254"/>
    <x v="257"/>
    <x v="230"/>
  </r>
  <r>
    <x v="9"/>
    <x v="60"/>
    <x v="1"/>
    <x v="8"/>
    <x v="25"/>
    <x v="1"/>
  </r>
  <r>
    <x v="11"/>
    <x v="3"/>
    <x v="1"/>
    <x v="330"/>
    <x v="1"/>
    <x v="2"/>
  </r>
  <r>
    <x v="11"/>
    <x v="136"/>
    <x v="1"/>
    <x v="331"/>
    <x v="163"/>
    <x v="22"/>
  </r>
  <r>
    <x v="12"/>
    <x v="55"/>
    <x v="0"/>
    <x v="332"/>
    <x v="144"/>
    <x v="144"/>
  </r>
  <r>
    <x v="12"/>
    <x v="21"/>
    <x v="1"/>
    <x v="15"/>
    <x v="43"/>
    <x v="2"/>
  </r>
  <r>
    <x v="21"/>
    <x v="110"/>
    <x v="1"/>
    <x v="262"/>
    <x v="208"/>
    <x v="121"/>
  </r>
  <r>
    <x v="21"/>
    <x v="68"/>
    <x v="1"/>
    <x v="333"/>
    <x v="258"/>
    <x v="231"/>
  </r>
  <r>
    <x v="13"/>
    <x v="88"/>
    <x v="1"/>
    <x v="334"/>
    <x v="259"/>
    <x v="35"/>
  </r>
  <r>
    <x v="13"/>
    <x v="21"/>
    <x v="1"/>
    <x v="263"/>
    <x v="37"/>
    <x v="2"/>
  </r>
  <r>
    <x v="15"/>
    <x v="19"/>
    <x v="1"/>
    <x v="335"/>
    <x v="260"/>
    <x v="164"/>
  </r>
  <r>
    <x v="16"/>
    <x v="0"/>
    <x v="0"/>
    <x v="183"/>
    <x v="154"/>
    <x v="207"/>
  </r>
  <r>
    <x v="16"/>
    <x v="24"/>
    <x v="1"/>
    <x v="10"/>
    <x v="43"/>
    <x v="1"/>
  </r>
  <r>
    <x v="16"/>
    <x v="38"/>
    <x v="0"/>
    <x v="8"/>
    <x v="25"/>
    <x v="9"/>
  </r>
  <r>
    <x v="17"/>
    <x v="0"/>
    <x v="0"/>
    <x v="336"/>
    <x v="261"/>
    <x v="11"/>
  </r>
  <r>
    <x v="17"/>
    <x v="137"/>
    <x v="1"/>
    <x v="337"/>
    <x v="262"/>
    <x v="232"/>
  </r>
  <r>
    <x v="17"/>
    <x v="98"/>
    <x v="0"/>
    <x v="338"/>
    <x v="19"/>
    <x v="1"/>
  </r>
  <r>
    <x v="17"/>
    <x v="98"/>
    <x v="1"/>
    <x v="339"/>
    <x v="197"/>
    <x v="9"/>
  </r>
  <r>
    <x v="18"/>
    <x v="101"/>
    <x v="1"/>
    <x v="340"/>
    <x v="263"/>
    <x v="233"/>
  </r>
  <r>
    <x v="19"/>
    <x v="112"/>
    <x v="1"/>
    <x v="59"/>
    <x v="37"/>
    <x v="2"/>
  </r>
  <r>
    <x v="0"/>
    <x v="132"/>
    <x v="0"/>
    <x v="181"/>
    <x v="2"/>
    <x v="9"/>
  </r>
  <r>
    <x v="0"/>
    <x v="46"/>
    <x v="1"/>
    <x v="341"/>
    <x v="121"/>
    <x v="234"/>
  </r>
  <r>
    <x v="20"/>
    <x v="37"/>
    <x v="1"/>
    <x v="342"/>
    <x v="9"/>
    <x v="21"/>
  </r>
  <r>
    <x v="20"/>
    <x v="138"/>
    <x v="1"/>
    <x v="343"/>
    <x v="264"/>
    <x v="125"/>
  </r>
  <r>
    <x v="20"/>
    <x v="139"/>
    <x v="0"/>
    <x v="344"/>
    <x v="265"/>
    <x v="144"/>
  </r>
  <r>
    <x v="1"/>
    <x v="69"/>
    <x v="1"/>
    <x v="345"/>
    <x v="266"/>
    <x v="235"/>
  </r>
  <r>
    <x v="1"/>
    <x v="86"/>
    <x v="0"/>
    <x v="346"/>
    <x v="267"/>
    <x v="236"/>
  </r>
  <r>
    <x v="1"/>
    <x v="7"/>
    <x v="1"/>
    <x v="347"/>
    <x v="265"/>
    <x v="10"/>
  </r>
  <r>
    <x v="2"/>
    <x v="70"/>
    <x v="1"/>
    <x v="348"/>
    <x v="268"/>
    <x v="194"/>
  </r>
  <r>
    <x v="4"/>
    <x v="108"/>
    <x v="1"/>
    <x v="349"/>
    <x v="269"/>
    <x v="237"/>
  </r>
  <r>
    <x v="5"/>
    <x v="88"/>
    <x v="0"/>
    <x v="350"/>
    <x v="270"/>
    <x v="238"/>
  </r>
  <r>
    <x v="5"/>
    <x v="139"/>
    <x v="1"/>
    <x v="351"/>
    <x v="118"/>
    <x v="239"/>
  </r>
  <r>
    <x v="6"/>
    <x v="87"/>
    <x v="1"/>
    <x v="304"/>
    <x v="271"/>
    <x v="240"/>
  </r>
  <r>
    <x v="6"/>
    <x v="0"/>
    <x v="1"/>
    <x v="352"/>
    <x v="272"/>
    <x v="241"/>
  </r>
  <r>
    <x v="6"/>
    <x v="12"/>
    <x v="0"/>
    <x v="353"/>
    <x v="273"/>
    <x v="240"/>
  </r>
  <r>
    <x v="6"/>
    <x v="97"/>
    <x v="1"/>
    <x v="354"/>
    <x v="274"/>
    <x v="242"/>
  </r>
  <r>
    <x v="7"/>
    <x v="105"/>
    <x v="1"/>
    <x v="93"/>
    <x v="25"/>
    <x v="9"/>
  </r>
  <r>
    <x v="7"/>
    <x v="48"/>
    <x v="0"/>
    <x v="355"/>
    <x v="44"/>
    <x v="1"/>
  </r>
  <r>
    <x v="8"/>
    <x v="62"/>
    <x v="0"/>
    <x v="291"/>
    <x v="1"/>
    <x v="1"/>
  </r>
  <r>
    <x v="8"/>
    <x v="140"/>
    <x v="0"/>
    <x v="59"/>
    <x v="37"/>
    <x v="2"/>
  </r>
  <r>
    <x v="8"/>
    <x v="45"/>
    <x v="1"/>
    <x v="203"/>
    <x v="165"/>
    <x v="243"/>
  </r>
  <r>
    <x v="8"/>
    <x v="93"/>
    <x v="1"/>
    <x v="356"/>
    <x v="275"/>
    <x v="244"/>
  </r>
  <r>
    <x v="8"/>
    <x v="14"/>
    <x v="1"/>
    <x v="357"/>
    <x v="276"/>
    <x v="245"/>
  </r>
  <r>
    <x v="9"/>
    <x v="94"/>
    <x v="0"/>
    <x v="358"/>
    <x v="25"/>
    <x v="9"/>
  </r>
  <r>
    <x v="9"/>
    <x v="59"/>
    <x v="1"/>
    <x v="50"/>
    <x v="25"/>
    <x v="9"/>
  </r>
  <r>
    <x v="9"/>
    <x v="90"/>
    <x v="1"/>
    <x v="8"/>
    <x v="25"/>
    <x v="1"/>
  </r>
  <r>
    <x v="9"/>
    <x v="56"/>
    <x v="1"/>
    <x v="359"/>
    <x v="277"/>
    <x v="68"/>
  </r>
  <r>
    <x v="9"/>
    <x v="38"/>
    <x v="1"/>
    <x v="360"/>
    <x v="278"/>
    <x v="246"/>
  </r>
  <r>
    <x v="10"/>
    <x v="47"/>
    <x v="0"/>
    <x v="1"/>
    <x v="1"/>
    <x v="2"/>
  </r>
  <r>
    <x v="11"/>
    <x v="47"/>
    <x v="1"/>
    <x v="146"/>
    <x v="279"/>
    <x v="247"/>
  </r>
  <r>
    <x v="12"/>
    <x v="79"/>
    <x v="1"/>
    <x v="361"/>
    <x v="197"/>
    <x v="32"/>
  </r>
  <r>
    <x v="12"/>
    <x v="86"/>
    <x v="1"/>
    <x v="362"/>
    <x v="280"/>
    <x v="248"/>
  </r>
  <r>
    <x v="21"/>
    <x v="45"/>
    <x v="1"/>
    <x v="363"/>
    <x v="281"/>
    <x v="249"/>
  </r>
  <r>
    <x v="13"/>
    <x v="26"/>
    <x v="1"/>
    <x v="364"/>
    <x v="152"/>
    <x v="57"/>
  </r>
  <r>
    <x v="13"/>
    <x v="17"/>
    <x v="1"/>
    <x v="20"/>
    <x v="19"/>
    <x v="9"/>
  </r>
  <r>
    <x v="13"/>
    <x v="141"/>
    <x v="0"/>
    <x v="20"/>
    <x v="19"/>
    <x v="1"/>
  </r>
  <r>
    <x v="14"/>
    <x v="47"/>
    <x v="1"/>
    <x v="365"/>
    <x v="282"/>
    <x v="250"/>
  </r>
  <r>
    <x v="15"/>
    <x v="31"/>
    <x v="0"/>
    <x v="1"/>
    <x v="1"/>
    <x v="2"/>
  </r>
  <r>
    <x v="16"/>
    <x v="53"/>
    <x v="1"/>
    <x v="10"/>
    <x v="43"/>
    <x v="1"/>
  </r>
  <r>
    <x v="16"/>
    <x v="91"/>
    <x v="0"/>
    <x v="30"/>
    <x v="30"/>
    <x v="21"/>
  </r>
  <r>
    <x v="17"/>
    <x v="142"/>
    <x v="1"/>
    <x v="366"/>
    <x v="283"/>
    <x v="33"/>
  </r>
  <r>
    <x v="17"/>
    <x v="18"/>
    <x v="1"/>
    <x v="1"/>
    <x v="1"/>
    <x v="1"/>
  </r>
  <r>
    <x v="18"/>
    <x v="31"/>
    <x v="1"/>
    <x v="367"/>
    <x v="284"/>
    <x v="251"/>
  </r>
  <r>
    <x v="18"/>
    <x v="143"/>
    <x v="1"/>
    <x v="368"/>
    <x v="285"/>
    <x v="252"/>
  </r>
  <r>
    <x v="19"/>
    <x v="60"/>
    <x v="1"/>
    <x v="50"/>
    <x v="9"/>
    <x v="1"/>
  </r>
  <r>
    <x v="0"/>
    <x v="36"/>
    <x v="1"/>
    <x v="1"/>
    <x v="1"/>
    <x v="2"/>
  </r>
  <r>
    <x v="20"/>
    <x v="144"/>
    <x v="1"/>
    <x v="55"/>
    <x v="22"/>
    <x v="39"/>
  </r>
  <r>
    <x v="20"/>
    <x v="116"/>
    <x v="0"/>
    <x v="369"/>
    <x v="44"/>
    <x v="1"/>
  </r>
  <r>
    <x v="20"/>
    <x v="3"/>
    <x v="0"/>
    <x v="370"/>
    <x v="44"/>
    <x v="1"/>
  </r>
  <r>
    <x v="1"/>
    <x v="109"/>
    <x v="1"/>
    <x v="371"/>
    <x v="286"/>
    <x v="253"/>
  </r>
  <r>
    <x v="1"/>
    <x v="108"/>
    <x v="0"/>
    <x v="302"/>
    <x v="63"/>
    <x v="254"/>
  </r>
  <r>
    <x v="1"/>
    <x v="47"/>
    <x v="1"/>
    <x v="372"/>
    <x v="287"/>
    <x v="255"/>
  </r>
  <r>
    <x v="2"/>
    <x v="109"/>
    <x v="1"/>
    <x v="134"/>
    <x v="288"/>
    <x v="172"/>
  </r>
  <r>
    <x v="3"/>
    <x v="145"/>
    <x v="1"/>
    <x v="284"/>
    <x v="30"/>
    <x v="46"/>
  </r>
  <r>
    <x v="3"/>
    <x v="146"/>
    <x v="1"/>
    <x v="246"/>
    <x v="242"/>
    <x v="14"/>
  </r>
  <r>
    <x v="4"/>
    <x v="27"/>
    <x v="1"/>
    <x v="1"/>
    <x v="1"/>
    <x v="1"/>
  </r>
  <r>
    <x v="4"/>
    <x v="55"/>
    <x v="1"/>
    <x v="373"/>
    <x v="289"/>
    <x v="45"/>
  </r>
  <r>
    <x v="5"/>
    <x v="15"/>
    <x v="1"/>
    <x v="374"/>
    <x v="290"/>
    <x v="256"/>
  </r>
  <r>
    <x v="5"/>
    <x v="46"/>
    <x v="1"/>
    <x v="331"/>
    <x v="215"/>
    <x v="49"/>
  </r>
  <r>
    <x v="5"/>
    <x v="74"/>
    <x v="0"/>
    <x v="375"/>
    <x v="2"/>
    <x v="21"/>
  </r>
  <r>
    <x v="6"/>
    <x v="57"/>
    <x v="1"/>
    <x v="20"/>
    <x v="19"/>
    <x v="9"/>
  </r>
  <r>
    <x v="7"/>
    <x v="43"/>
    <x v="1"/>
    <x v="147"/>
    <x v="130"/>
    <x v="39"/>
  </r>
  <r>
    <x v="7"/>
    <x v="121"/>
    <x v="1"/>
    <x v="376"/>
    <x v="291"/>
    <x v="257"/>
  </r>
  <r>
    <x v="7"/>
    <x v="24"/>
    <x v="1"/>
    <x v="93"/>
    <x v="25"/>
    <x v="21"/>
  </r>
  <r>
    <x v="8"/>
    <x v="33"/>
    <x v="0"/>
    <x v="91"/>
    <x v="271"/>
    <x v="227"/>
  </r>
  <r>
    <x v="9"/>
    <x v="27"/>
    <x v="1"/>
    <x v="364"/>
    <x v="292"/>
    <x v="258"/>
  </r>
  <r>
    <x v="9"/>
    <x v="119"/>
    <x v="1"/>
    <x v="20"/>
    <x v="19"/>
    <x v="1"/>
  </r>
  <r>
    <x v="9"/>
    <x v="100"/>
    <x v="1"/>
    <x v="50"/>
    <x v="9"/>
    <x v="21"/>
  </r>
  <r>
    <x v="10"/>
    <x v="4"/>
    <x v="0"/>
    <x v="1"/>
    <x v="1"/>
    <x v="2"/>
  </r>
  <r>
    <x v="10"/>
    <x v="53"/>
    <x v="1"/>
    <x v="1"/>
    <x v="1"/>
    <x v="1"/>
  </r>
  <r>
    <x v="11"/>
    <x v="113"/>
    <x v="1"/>
    <x v="8"/>
    <x v="25"/>
    <x v="1"/>
  </r>
  <r>
    <x v="12"/>
    <x v="37"/>
    <x v="0"/>
    <x v="377"/>
    <x v="9"/>
    <x v="2"/>
  </r>
  <r>
    <x v="12"/>
    <x v="87"/>
    <x v="1"/>
    <x v="294"/>
    <x v="293"/>
    <x v="259"/>
  </r>
  <r>
    <x v="12"/>
    <x v="45"/>
    <x v="1"/>
    <x v="363"/>
    <x v="281"/>
    <x v="222"/>
  </r>
  <r>
    <x v="21"/>
    <x v="93"/>
    <x v="1"/>
    <x v="98"/>
    <x v="294"/>
    <x v="260"/>
  </r>
  <r>
    <x v="13"/>
    <x v="112"/>
    <x v="1"/>
    <x v="378"/>
    <x v="295"/>
    <x v="261"/>
  </r>
  <r>
    <x v="14"/>
    <x v="26"/>
    <x v="1"/>
    <x v="311"/>
    <x v="258"/>
    <x v="262"/>
  </r>
  <r>
    <x v="14"/>
    <x v="69"/>
    <x v="1"/>
    <x v="379"/>
    <x v="296"/>
    <x v="263"/>
  </r>
  <r>
    <x v="14"/>
    <x v="68"/>
    <x v="1"/>
    <x v="380"/>
    <x v="297"/>
    <x v="264"/>
  </r>
  <r>
    <x v="15"/>
    <x v="147"/>
    <x v="1"/>
    <x v="220"/>
    <x v="44"/>
    <x v="1"/>
  </r>
  <r>
    <x v="15"/>
    <x v="17"/>
    <x v="1"/>
    <x v="381"/>
    <x v="298"/>
    <x v="265"/>
  </r>
  <r>
    <x v="15"/>
    <x v="90"/>
    <x v="1"/>
    <x v="1"/>
    <x v="1"/>
    <x v="1"/>
  </r>
  <r>
    <x v="15"/>
    <x v="55"/>
    <x v="1"/>
    <x v="366"/>
    <x v="67"/>
    <x v="162"/>
  </r>
  <r>
    <x v="16"/>
    <x v="84"/>
    <x v="1"/>
    <x v="382"/>
    <x v="299"/>
    <x v="190"/>
  </r>
  <r>
    <x v="16"/>
    <x v="71"/>
    <x v="0"/>
    <x v="179"/>
    <x v="300"/>
    <x v="266"/>
  </r>
  <r>
    <x v="16"/>
    <x v="38"/>
    <x v="1"/>
    <x v="293"/>
    <x v="231"/>
    <x v="19"/>
  </r>
  <r>
    <x v="17"/>
    <x v="88"/>
    <x v="1"/>
    <x v="383"/>
    <x v="12"/>
    <x v="10"/>
  </r>
  <r>
    <x v="17"/>
    <x v="114"/>
    <x v="1"/>
    <x v="384"/>
    <x v="44"/>
    <x v="1"/>
  </r>
  <r>
    <x v="18"/>
    <x v="87"/>
    <x v="1"/>
    <x v="385"/>
    <x v="301"/>
    <x v="267"/>
  </r>
  <r>
    <x v="18"/>
    <x v="69"/>
    <x v="1"/>
    <x v="386"/>
    <x v="129"/>
    <x v="126"/>
  </r>
  <r>
    <x v="18"/>
    <x v="52"/>
    <x v="1"/>
    <x v="1"/>
    <x v="1"/>
    <x v="1"/>
  </r>
  <r>
    <x v="18"/>
    <x v="120"/>
    <x v="1"/>
    <x v="387"/>
    <x v="302"/>
    <x v="268"/>
  </r>
  <r>
    <x v="19"/>
    <x v="12"/>
    <x v="0"/>
    <x v="388"/>
    <x v="301"/>
    <x v="8"/>
  </r>
  <r>
    <x v="19"/>
    <x v="59"/>
    <x v="1"/>
    <x v="10"/>
    <x v="37"/>
    <x v="2"/>
  </r>
  <r>
    <x v="19"/>
    <x v="137"/>
    <x v="1"/>
    <x v="1"/>
    <x v="1"/>
    <x v="2"/>
  </r>
  <r>
    <x v="19"/>
    <x v="63"/>
    <x v="1"/>
    <x v="389"/>
    <x v="303"/>
    <x v="269"/>
  </r>
  <r>
    <x v="0"/>
    <x v="145"/>
    <x v="0"/>
    <x v="1"/>
    <x v="44"/>
    <x v="1"/>
  </r>
  <r>
    <x v="0"/>
    <x v="107"/>
    <x v="1"/>
    <x v="390"/>
    <x v="304"/>
    <x v="270"/>
  </r>
  <r>
    <x v="0"/>
    <x v="34"/>
    <x v="1"/>
    <x v="1"/>
    <x v="1"/>
    <x v="2"/>
  </r>
  <r>
    <x v="20"/>
    <x v="86"/>
    <x v="0"/>
    <x v="391"/>
    <x v="305"/>
    <x v="271"/>
  </r>
  <r>
    <x v="1"/>
    <x v="148"/>
    <x v="1"/>
    <x v="392"/>
    <x v="306"/>
    <x v="272"/>
  </r>
  <r>
    <x v="1"/>
    <x v="12"/>
    <x v="0"/>
    <x v="102"/>
    <x v="307"/>
    <x v="273"/>
  </r>
  <r>
    <x v="1"/>
    <x v="149"/>
    <x v="1"/>
    <x v="393"/>
    <x v="308"/>
    <x v="90"/>
  </r>
  <r>
    <x v="2"/>
    <x v="22"/>
    <x v="1"/>
    <x v="394"/>
    <x v="309"/>
    <x v="45"/>
  </r>
  <r>
    <x v="4"/>
    <x v="8"/>
    <x v="1"/>
    <x v="395"/>
    <x v="310"/>
    <x v="274"/>
  </r>
  <r>
    <x v="4"/>
    <x v="20"/>
    <x v="1"/>
    <x v="396"/>
    <x v="311"/>
    <x v="275"/>
  </r>
  <r>
    <x v="4"/>
    <x v="46"/>
    <x v="1"/>
    <x v="25"/>
    <x v="24"/>
    <x v="40"/>
  </r>
  <r>
    <x v="4"/>
    <x v="104"/>
    <x v="1"/>
    <x v="213"/>
    <x v="174"/>
    <x v="165"/>
  </r>
  <r>
    <x v="5"/>
    <x v="109"/>
    <x v="0"/>
    <x v="397"/>
    <x v="312"/>
    <x v="276"/>
  </r>
  <r>
    <x v="6"/>
    <x v="33"/>
    <x v="0"/>
    <x v="398"/>
    <x v="313"/>
    <x v="277"/>
  </r>
  <r>
    <x v="6"/>
    <x v="110"/>
    <x v="1"/>
    <x v="399"/>
    <x v="314"/>
    <x v="278"/>
  </r>
  <r>
    <x v="7"/>
    <x v="94"/>
    <x v="1"/>
    <x v="400"/>
    <x v="9"/>
    <x v="21"/>
  </r>
  <r>
    <x v="7"/>
    <x v="36"/>
    <x v="1"/>
    <x v="20"/>
    <x v="19"/>
    <x v="1"/>
  </r>
  <r>
    <x v="8"/>
    <x v="33"/>
    <x v="1"/>
    <x v="237"/>
    <x v="34"/>
    <x v="146"/>
  </r>
  <r>
    <x v="8"/>
    <x v="134"/>
    <x v="1"/>
    <x v="401"/>
    <x v="315"/>
    <x v="227"/>
  </r>
  <r>
    <x v="9"/>
    <x v="150"/>
    <x v="1"/>
    <x v="93"/>
    <x v="1"/>
    <x v="1"/>
  </r>
  <r>
    <x v="9"/>
    <x v="116"/>
    <x v="1"/>
    <x v="277"/>
    <x v="9"/>
    <x v="21"/>
  </r>
  <r>
    <x v="9"/>
    <x v="13"/>
    <x v="0"/>
    <x v="61"/>
    <x v="14"/>
    <x v="49"/>
  </r>
  <r>
    <x v="10"/>
    <x v="111"/>
    <x v="0"/>
    <x v="121"/>
    <x v="1"/>
    <x v="1"/>
  </r>
  <r>
    <x v="10"/>
    <x v="25"/>
    <x v="1"/>
    <x v="402"/>
    <x v="44"/>
    <x v="1"/>
  </r>
  <r>
    <x v="10"/>
    <x v="71"/>
    <x v="1"/>
    <x v="343"/>
    <x v="264"/>
    <x v="237"/>
  </r>
  <r>
    <x v="10"/>
    <x v="60"/>
    <x v="1"/>
    <x v="1"/>
    <x v="1"/>
    <x v="1"/>
  </r>
  <r>
    <x v="11"/>
    <x v="75"/>
    <x v="1"/>
    <x v="403"/>
    <x v="316"/>
    <x v="279"/>
  </r>
  <r>
    <x v="11"/>
    <x v="141"/>
    <x v="1"/>
    <x v="198"/>
    <x v="247"/>
    <x v="30"/>
  </r>
  <r>
    <x v="12"/>
    <x v="32"/>
    <x v="0"/>
    <x v="404"/>
    <x v="111"/>
    <x v="280"/>
  </r>
  <r>
    <x v="12"/>
    <x v="90"/>
    <x v="1"/>
    <x v="59"/>
    <x v="37"/>
    <x v="1"/>
  </r>
  <r>
    <x v="12"/>
    <x v="93"/>
    <x v="1"/>
    <x v="405"/>
    <x v="317"/>
    <x v="55"/>
  </r>
  <r>
    <x v="21"/>
    <x v="8"/>
    <x v="1"/>
    <x v="52"/>
    <x v="50"/>
    <x v="281"/>
  </r>
  <r>
    <x v="21"/>
    <x v="21"/>
    <x v="1"/>
    <x v="406"/>
    <x v="242"/>
    <x v="21"/>
  </r>
  <r>
    <x v="21"/>
    <x v="34"/>
    <x v="1"/>
    <x v="1"/>
    <x v="1"/>
    <x v="1"/>
  </r>
  <r>
    <x v="21"/>
    <x v="74"/>
    <x v="1"/>
    <x v="407"/>
    <x v="44"/>
    <x v="1"/>
  </r>
  <r>
    <x v="13"/>
    <x v="62"/>
    <x v="1"/>
    <x v="300"/>
    <x v="19"/>
    <x v="1"/>
  </r>
  <r>
    <x v="13"/>
    <x v="116"/>
    <x v="0"/>
    <x v="408"/>
    <x v="9"/>
    <x v="21"/>
  </r>
  <r>
    <x v="14"/>
    <x v="81"/>
    <x v="0"/>
    <x v="409"/>
    <x v="232"/>
    <x v="16"/>
  </r>
  <r>
    <x v="14"/>
    <x v="61"/>
    <x v="0"/>
    <x v="410"/>
    <x v="318"/>
    <x v="282"/>
  </r>
  <r>
    <x v="15"/>
    <x v="112"/>
    <x v="1"/>
    <x v="411"/>
    <x v="319"/>
    <x v="283"/>
  </r>
  <r>
    <x v="15"/>
    <x v="58"/>
    <x v="1"/>
    <x v="412"/>
    <x v="320"/>
    <x v="35"/>
  </r>
  <r>
    <x v="15"/>
    <x v="47"/>
    <x v="1"/>
    <x v="413"/>
    <x v="321"/>
    <x v="284"/>
  </r>
  <r>
    <x v="16"/>
    <x v="30"/>
    <x v="0"/>
    <x v="414"/>
    <x v="322"/>
    <x v="285"/>
  </r>
  <r>
    <x v="19"/>
    <x v="53"/>
    <x v="1"/>
    <x v="50"/>
    <x v="9"/>
    <x v="1"/>
  </r>
  <r>
    <x v="19"/>
    <x v="71"/>
    <x v="0"/>
    <x v="415"/>
    <x v="323"/>
    <x v="222"/>
  </r>
  <r>
    <x v="0"/>
    <x v="54"/>
    <x v="1"/>
    <x v="1"/>
    <x v="1"/>
    <x v="2"/>
  </r>
  <r>
    <x v="0"/>
    <x v="118"/>
    <x v="1"/>
    <x v="416"/>
    <x v="324"/>
    <x v="71"/>
  </r>
  <r>
    <x v="20"/>
    <x v="147"/>
    <x v="0"/>
    <x v="417"/>
    <x v="44"/>
    <x v="1"/>
  </r>
  <r>
    <x v="1"/>
    <x v="64"/>
    <x v="0"/>
    <x v="213"/>
    <x v="174"/>
    <x v="286"/>
  </r>
  <r>
    <x v="1"/>
    <x v="93"/>
    <x v="0"/>
    <x v="418"/>
    <x v="325"/>
    <x v="287"/>
  </r>
  <r>
    <x v="1"/>
    <x v="93"/>
    <x v="1"/>
    <x v="419"/>
    <x v="326"/>
    <x v="288"/>
  </r>
  <r>
    <x v="1"/>
    <x v="48"/>
    <x v="0"/>
    <x v="420"/>
    <x v="44"/>
    <x v="1"/>
  </r>
  <r>
    <x v="3"/>
    <x v="44"/>
    <x v="1"/>
    <x v="421"/>
    <x v="44"/>
    <x v="1"/>
  </r>
  <r>
    <x v="4"/>
    <x v="11"/>
    <x v="0"/>
    <x v="422"/>
    <x v="85"/>
    <x v="22"/>
  </r>
  <r>
    <x v="4"/>
    <x v="76"/>
    <x v="1"/>
    <x v="423"/>
    <x v="327"/>
    <x v="258"/>
  </r>
  <r>
    <x v="5"/>
    <x v="65"/>
    <x v="0"/>
    <x v="93"/>
    <x v="2"/>
    <x v="9"/>
  </r>
  <r>
    <x v="5"/>
    <x v="69"/>
    <x v="0"/>
    <x v="424"/>
    <x v="328"/>
    <x v="289"/>
  </r>
  <r>
    <x v="6"/>
    <x v="5"/>
    <x v="0"/>
    <x v="425"/>
    <x v="329"/>
    <x v="290"/>
  </r>
  <r>
    <x v="6"/>
    <x v="6"/>
    <x v="1"/>
    <x v="426"/>
    <x v="330"/>
    <x v="291"/>
  </r>
  <r>
    <x v="7"/>
    <x v="30"/>
    <x v="1"/>
    <x v="15"/>
    <x v="14"/>
    <x v="22"/>
  </r>
  <r>
    <x v="7"/>
    <x v="15"/>
    <x v="1"/>
    <x v="427"/>
    <x v="331"/>
    <x v="292"/>
  </r>
  <r>
    <x v="7"/>
    <x v="53"/>
    <x v="1"/>
    <x v="1"/>
    <x v="1"/>
    <x v="2"/>
  </r>
  <r>
    <x v="7"/>
    <x v="14"/>
    <x v="1"/>
    <x v="428"/>
    <x v="332"/>
    <x v="293"/>
  </r>
  <r>
    <x v="8"/>
    <x v="92"/>
    <x v="1"/>
    <x v="429"/>
    <x v="333"/>
    <x v="294"/>
  </r>
  <r>
    <x v="8"/>
    <x v="47"/>
    <x v="1"/>
    <x v="430"/>
    <x v="334"/>
    <x v="295"/>
  </r>
  <r>
    <x v="9"/>
    <x v="72"/>
    <x v="1"/>
    <x v="431"/>
    <x v="335"/>
    <x v="296"/>
  </r>
  <r>
    <x v="9"/>
    <x v="133"/>
    <x v="1"/>
    <x v="135"/>
    <x v="37"/>
    <x v="21"/>
  </r>
  <r>
    <x v="10"/>
    <x v="30"/>
    <x v="1"/>
    <x v="432"/>
    <x v="336"/>
    <x v="297"/>
  </r>
  <r>
    <x v="10"/>
    <x v="5"/>
    <x v="1"/>
    <x v="433"/>
    <x v="195"/>
    <x v="298"/>
  </r>
  <r>
    <x v="10"/>
    <x v="34"/>
    <x v="1"/>
    <x v="1"/>
    <x v="1"/>
    <x v="1"/>
  </r>
  <r>
    <x v="11"/>
    <x v="19"/>
    <x v="1"/>
    <x v="91"/>
    <x v="79"/>
    <x v="299"/>
  </r>
  <r>
    <x v="11"/>
    <x v="30"/>
    <x v="0"/>
    <x v="434"/>
    <x v="337"/>
    <x v="300"/>
  </r>
  <r>
    <x v="12"/>
    <x v="19"/>
    <x v="1"/>
    <x v="21"/>
    <x v="20"/>
    <x v="275"/>
  </r>
  <r>
    <x v="12"/>
    <x v="88"/>
    <x v="0"/>
    <x v="435"/>
    <x v="338"/>
    <x v="301"/>
  </r>
  <r>
    <x v="12"/>
    <x v="102"/>
    <x v="1"/>
    <x v="284"/>
    <x v="30"/>
    <x v="2"/>
  </r>
  <r>
    <x v="21"/>
    <x v="27"/>
    <x v="1"/>
    <x v="436"/>
    <x v="339"/>
    <x v="302"/>
  </r>
  <r>
    <x v="21"/>
    <x v="69"/>
    <x v="0"/>
    <x v="437"/>
    <x v="340"/>
    <x v="303"/>
  </r>
  <r>
    <x v="21"/>
    <x v="151"/>
    <x v="0"/>
    <x v="135"/>
    <x v="43"/>
    <x v="21"/>
  </r>
  <r>
    <x v="21"/>
    <x v="118"/>
    <x v="1"/>
    <x v="438"/>
    <x v="341"/>
    <x v="159"/>
  </r>
  <r>
    <x v="21"/>
    <x v="100"/>
    <x v="0"/>
    <x v="439"/>
    <x v="342"/>
    <x v="199"/>
  </r>
  <r>
    <x v="21"/>
    <x v="14"/>
    <x v="0"/>
    <x v="440"/>
    <x v="343"/>
    <x v="304"/>
  </r>
  <r>
    <x v="13"/>
    <x v="61"/>
    <x v="1"/>
    <x v="441"/>
    <x v="344"/>
    <x v="305"/>
  </r>
  <r>
    <x v="13"/>
    <x v="78"/>
    <x v="1"/>
    <x v="442"/>
    <x v="81"/>
    <x v="306"/>
  </r>
  <r>
    <x v="14"/>
    <x v="99"/>
    <x v="0"/>
    <x v="164"/>
    <x v="44"/>
    <x v="1"/>
  </r>
  <r>
    <x v="14"/>
    <x v="16"/>
    <x v="1"/>
    <x v="443"/>
    <x v="345"/>
    <x v="116"/>
  </r>
  <r>
    <x v="15"/>
    <x v="30"/>
    <x v="0"/>
    <x v="177"/>
    <x v="346"/>
    <x v="307"/>
  </r>
  <r>
    <x v="16"/>
    <x v="37"/>
    <x v="0"/>
    <x v="20"/>
    <x v="1"/>
    <x v="1"/>
  </r>
  <r>
    <x v="16"/>
    <x v="119"/>
    <x v="1"/>
    <x v="135"/>
    <x v="128"/>
    <x v="1"/>
  </r>
  <r>
    <x v="16"/>
    <x v="2"/>
    <x v="1"/>
    <x v="135"/>
    <x v="128"/>
    <x v="1"/>
  </r>
  <r>
    <x v="0"/>
    <x v="62"/>
    <x v="1"/>
    <x v="61"/>
    <x v="44"/>
    <x v="1"/>
  </r>
  <r>
    <x v="0"/>
    <x v="96"/>
    <x v="0"/>
    <x v="444"/>
    <x v="347"/>
    <x v="308"/>
  </r>
  <r>
    <x v="0"/>
    <x v="108"/>
    <x v="1"/>
    <x v="61"/>
    <x v="49"/>
    <x v="127"/>
  </r>
  <r>
    <x v="20"/>
    <x v="12"/>
    <x v="0"/>
    <x v="445"/>
    <x v="348"/>
    <x v="66"/>
  </r>
  <r>
    <x v="1"/>
    <x v="134"/>
    <x v="1"/>
    <x v="446"/>
    <x v="349"/>
    <x v="309"/>
  </r>
  <r>
    <x v="1"/>
    <x v="6"/>
    <x v="0"/>
    <x v="447"/>
    <x v="350"/>
    <x v="310"/>
  </r>
  <r>
    <x v="1"/>
    <x v="70"/>
    <x v="1"/>
    <x v="180"/>
    <x v="19"/>
    <x v="1"/>
  </r>
  <r>
    <x v="2"/>
    <x v="3"/>
    <x v="1"/>
    <x v="448"/>
    <x v="1"/>
    <x v="2"/>
  </r>
  <r>
    <x v="2"/>
    <x v="9"/>
    <x v="0"/>
    <x v="381"/>
    <x v="37"/>
    <x v="46"/>
  </r>
  <r>
    <x v="3"/>
    <x v="14"/>
    <x v="1"/>
    <x v="449"/>
    <x v="351"/>
    <x v="311"/>
  </r>
  <r>
    <x v="4"/>
    <x v="45"/>
    <x v="1"/>
    <x v="321"/>
    <x v="352"/>
    <x v="312"/>
  </r>
  <r>
    <x v="5"/>
    <x v="17"/>
    <x v="1"/>
    <x v="450"/>
    <x v="353"/>
    <x v="108"/>
  </r>
  <r>
    <x v="5"/>
    <x v="133"/>
    <x v="1"/>
    <x v="451"/>
    <x v="24"/>
    <x v="86"/>
  </r>
  <r>
    <x v="6"/>
    <x v="90"/>
    <x v="1"/>
    <x v="30"/>
    <x v="25"/>
    <x v="21"/>
  </r>
  <r>
    <x v="7"/>
    <x v="75"/>
    <x v="0"/>
    <x v="452"/>
    <x v="354"/>
    <x v="313"/>
  </r>
  <r>
    <x v="8"/>
    <x v="3"/>
    <x v="1"/>
    <x v="453"/>
    <x v="1"/>
    <x v="1"/>
  </r>
  <r>
    <x v="8"/>
    <x v="5"/>
    <x v="1"/>
    <x v="454"/>
    <x v="355"/>
    <x v="314"/>
  </r>
  <r>
    <x v="8"/>
    <x v="25"/>
    <x v="0"/>
    <x v="455"/>
    <x v="356"/>
    <x v="315"/>
  </r>
  <r>
    <x v="9"/>
    <x v="75"/>
    <x v="1"/>
    <x v="456"/>
    <x v="357"/>
    <x v="316"/>
  </r>
  <r>
    <x v="9"/>
    <x v="87"/>
    <x v="1"/>
    <x v="457"/>
    <x v="236"/>
    <x v="163"/>
  </r>
  <r>
    <x v="9"/>
    <x v="57"/>
    <x v="1"/>
    <x v="8"/>
    <x v="25"/>
    <x v="1"/>
  </r>
  <r>
    <x v="9"/>
    <x v="100"/>
    <x v="0"/>
    <x v="246"/>
    <x v="52"/>
    <x v="32"/>
  </r>
  <r>
    <x v="9"/>
    <x v="14"/>
    <x v="0"/>
    <x v="458"/>
    <x v="358"/>
    <x v="317"/>
  </r>
  <r>
    <x v="10"/>
    <x v="16"/>
    <x v="1"/>
    <x v="459"/>
    <x v="153"/>
    <x v="10"/>
  </r>
  <r>
    <x v="10"/>
    <x v="47"/>
    <x v="1"/>
    <x v="460"/>
    <x v="359"/>
    <x v="318"/>
  </r>
  <r>
    <x v="11"/>
    <x v="0"/>
    <x v="1"/>
    <x v="461"/>
    <x v="360"/>
    <x v="231"/>
  </r>
  <r>
    <x v="12"/>
    <x v="23"/>
    <x v="0"/>
    <x v="1"/>
    <x v="44"/>
    <x v="1"/>
  </r>
  <r>
    <x v="12"/>
    <x v="152"/>
    <x v="0"/>
    <x v="462"/>
    <x v="361"/>
    <x v="319"/>
  </r>
  <r>
    <x v="12"/>
    <x v="71"/>
    <x v="1"/>
    <x v="463"/>
    <x v="362"/>
    <x v="262"/>
  </r>
  <r>
    <x v="21"/>
    <x v="17"/>
    <x v="1"/>
    <x v="464"/>
    <x v="363"/>
    <x v="320"/>
  </r>
  <r>
    <x v="21"/>
    <x v="65"/>
    <x v="1"/>
    <x v="25"/>
    <x v="93"/>
    <x v="91"/>
  </r>
  <r>
    <x v="21"/>
    <x v="69"/>
    <x v="1"/>
    <x v="465"/>
    <x v="364"/>
    <x v="321"/>
  </r>
  <r>
    <x v="21"/>
    <x v="88"/>
    <x v="1"/>
    <x v="466"/>
    <x v="299"/>
    <x v="77"/>
  </r>
  <r>
    <x v="13"/>
    <x v="32"/>
    <x v="0"/>
    <x v="1"/>
    <x v="44"/>
    <x v="1"/>
  </r>
  <r>
    <x v="13"/>
    <x v="90"/>
    <x v="1"/>
    <x v="1"/>
    <x v="1"/>
    <x v="1"/>
  </r>
  <r>
    <x v="13"/>
    <x v="98"/>
    <x v="1"/>
    <x v="350"/>
    <x v="14"/>
    <x v="39"/>
  </r>
  <r>
    <x v="13"/>
    <x v="102"/>
    <x v="1"/>
    <x v="20"/>
    <x v="19"/>
    <x v="1"/>
  </r>
  <r>
    <x v="13"/>
    <x v="74"/>
    <x v="1"/>
    <x v="467"/>
    <x v="1"/>
    <x v="2"/>
  </r>
  <r>
    <x v="13"/>
    <x v="86"/>
    <x v="1"/>
    <x v="468"/>
    <x v="365"/>
    <x v="322"/>
  </r>
  <r>
    <x v="14"/>
    <x v="116"/>
    <x v="0"/>
    <x v="469"/>
    <x v="9"/>
    <x v="21"/>
  </r>
  <r>
    <x v="15"/>
    <x v="37"/>
    <x v="0"/>
    <x v="470"/>
    <x v="2"/>
    <x v="2"/>
  </r>
  <r>
    <x v="16"/>
    <x v="28"/>
    <x v="1"/>
    <x v="59"/>
    <x v="2"/>
    <x v="9"/>
  </r>
  <r>
    <x v="16"/>
    <x v="36"/>
    <x v="1"/>
    <x v="135"/>
    <x v="128"/>
    <x v="1"/>
  </r>
  <r>
    <x v="17"/>
    <x v="37"/>
    <x v="1"/>
    <x v="471"/>
    <x v="44"/>
    <x v="1"/>
  </r>
  <r>
    <x v="17"/>
    <x v="82"/>
    <x v="1"/>
    <x v="1"/>
    <x v="1"/>
    <x v="1"/>
  </r>
  <r>
    <x v="18"/>
    <x v="30"/>
    <x v="1"/>
    <x v="472"/>
    <x v="366"/>
    <x v="323"/>
  </r>
  <r>
    <x v="0"/>
    <x v="12"/>
    <x v="1"/>
    <x v="473"/>
    <x v="367"/>
    <x v="324"/>
  </r>
  <r>
    <x v="0"/>
    <x v="9"/>
    <x v="1"/>
    <x v="474"/>
    <x v="368"/>
    <x v="196"/>
  </r>
  <r>
    <x v="0"/>
    <x v="46"/>
    <x v="0"/>
    <x v="135"/>
    <x v="128"/>
    <x v="39"/>
  </r>
  <r>
    <x v="0"/>
    <x v="76"/>
    <x v="0"/>
    <x v="250"/>
    <x v="200"/>
    <x v="238"/>
  </r>
  <r>
    <x v="20"/>
    <x v="96"/>
    <x v="1"/>
    <x v="475"/>
    <x v="369"/>
    <x v="325"/>
  </r>
  <r>
    <x v="2"/>
    <x v="0"/>
    <x v="1"/>
    <x v="476"/>
    <x v="370"/>
    <x v="326"/>
  </r>
  <r>
    <x v="2"/>
    <x v="50"/>
    <x v="0"/>
    <x v="477"/>
    <x v="371"/>
    <x v="327"/>
  </r>
  <r>
    <x v="2"/>
    <x v="97"/>
    <x v="1"/>
    <x v="478"/>
    <x v="372"/>
    <x v="328"/>
  </r>
  <r>
    <x v="3"/>
    <x v="22"/>
    <x v="1"/>
    <x v="22"/>
    <x v="21"/>
    <x v="329"/>
  </r>
  <r>
    <x v="4"/>
    <x v="12"/>
    <x v="0"/>
    <x v="479"/>
    <x v="373"/>
    <x v="330"/>
  </r>
  <r>
    <x v="4"/>
    <x v="153"/>
    <x v="1"/>
    <x v="480"/>
    <x v="335"/>
    <x v="164"/>
  </r>
  <r>
    <x v="5"/>
    <x v="50"/>
    <x v="0"/>
    <x v="77"/>
    <x v="281"/>
    <x v="71"/>
  </r>
  <r>
    <x v="5"/>
    <x v="5"/>
    <x v="0"/>
    <x v="481"/>
    <x v="374"/>
    <x v="331"/>
  </r>
  <r>
    <x v="5"/>
    <x v="134"/>
    <x v="1"/>
    <x v="482"/>
    <x v="375"/>
    <x v="332"/>
  </r>
  <r>
    <x v="5"/>
    <x v="6"/>
    <x v="1"/>
    <x v="483"/>
    <x v="376"/>
    <x v="137"/>
  </r>
  <r>
    <x v="5"/>
    <x v="14"/>
    <x v="0"/>
    <x v="484"/>
    <x v="377"/>
    <x v="333"/>
  </r>
  <r>
    <x v="6"/>
    <x v="8"/>
    <x v="0"/>
    <x v="485"/>
    <x v="378"/>
    <x v="161"/>
  </r>
  <r>
    <x v="7"/>
    <x v="87"/>
    <x v="1"/>
    <x v="226"/>
    <x v="34"/>
    <x v="190"/>
  </r>
  <r>
    <x v="7"/>
    <x v="50"/>
    <x v="0"/>
    <x v="1"/>
    <x v="1"/>
    <x v="2"/>
  </r>
  <r>
    <x v="7"/>
    <x v="59"/>
    <x v="1"/>
    <x v="263"/>
    <x v="43"/>
    <x v="21"/>
  </r>
  <r>
    <x v="7"/>
    <x v="88"/>
    <x v="1"/>
    <x v="486"/>
    <x v="379"/>
    <x v="213"/>
  </r>
  <r>
    <x v="7"/>
    <x v="82"/>
    <x v="1"/>
    <x v="1"/>
    <x v="1"/>
    <x v="1"/>
  </r>
  <r>
    <x v="7"/>
    <x v="71"/>
    <x v="0"/>
    <x v="487"/>
    <x v="380"/>
    <x v="334"/>
  </r>
  <r>
    <x v="8"/>
    <x v="116"/>
    <x v="0"/>
    <x v="488"/>
    <x v="19"/>
    <x v="9"/>
  </r>
  <r>
    <x v="8"/>
    <x v="100"/>
    <x v="0"/>
    <x v="263"/>
    <x v="197"/>
    <x v="14"/>
  </r>
  <r>
    <x v="9"/>
    <x v="56"/>
    <x v="0"/>
    <x v="489"/>
    <x v="113"/>
    <x v="335"/>
  </r>
  <r>
    <x v="10"/>
    <x v="45"/>
    <x v="1"/>
    <x v="490"/>
    <x v="381"/>
    <x v="57"/>
  </r>
  <r>
    <x v="10"/>
    <x v="14"/>
    <x v="1"/>
    <x v="491"/>
    <x v="382"/>
    <x v="336"/>
  </r>
  <r>
    <x v="11"/>
    <x v="29"/>
    <x v="1"/>
    <x v="435"/>
    <x v="383"/>
    <x v="20"/>
  </r>
  <r>
    <x v="11"/>
    <x v="154"/>
    <x v="1"/>
    <x v="492"/>
    <x v="44"/>
    <x v="1"/>
  </r>
  <r>
    <x v="12"/>
    <x v="86"/>
    <x v="0"/>
    <x v="493"/>
    <x v="384"/>
    <x v="242"/>
  </r>
  <r>
    <x v="21"/>
    <x v="112"/>
    <x v="0"/>
    <x v="237"/>
    <x v="191"/>
    <x v="208"/>
  </r>
  <r>
    <x v="21"/>
    <x v="24"/>
    <x v="1"/>
    <x v="20"/>
    <x v="19"/>
    <x v="1"/>
  </r>
  <r>
    <x v="13"/>
    <x v="69"/>
    <x v="0"/>
    <x v="466"/>
    <x v="299"/>
    <x v="11"/>
  </r>
  <r>
    <x v="15"/>
    <x v="32"/>
    <x v="1"/>
    <x v="1"/>
    <x v="44"/>
    <x v="1"/>
  </r>
  <r>
    <x v="15"/>
    <x v="101"/>
    <x v="1"/>
    <x v="494"/>
    <x v="385"/>
    <x v="337"/>
  </r>
  <r>
    <x v="15"/>
    <x v="57"/>
    <x v="1"/>
    <x v="495"/>
    <x v="386"/>
    <x v="338"/>
  </r>
  <r>
    <x v="15"/>
    <x v="22"/>
    <x v="1"/>
    <x v="385"/>
    <x v="301"/>
    <x v="121"/>
  </r>
  <r>
    <x v="15"/>
    <x v="2"/>
    <x v="1"/>
    <x v="1"/>
    <x v="1"/>
    <x v="1"/>
  </r>
  <r>
    <x v="16"/>
    <x v="31"/>
    <x v="1"/>
    <x v="496"/>
    <x v="387"/>
    <x v="339"/>
  </r>
  <r>
    <x v="16"/>
    <x v="93"/>
    <x v="1"/>
    <x v="497"/>
    <x v="388"/>
    <x v="182"/>
  </r>
  <r>
    <x v="17"/>
    <x v="90"/>
    <x v="1"/>
    <x v="1"/>
    <x v="1"/>
    <x v="1"/>
  </r>
  <r>
    <x v="17"/>
    <x v="137"/>
    <x v="0"/>
    <x v="498"/>
    <x v="389"/>
    <x v="340"/>
  </r>
  <r>
    <x v="18"/>
    <x v="5"/>
    <x v="1"/>
    <x v="392"/>
    <x v="306"/>
    <x v="341"/>
  </r>
  <r>
    <x v="19"/>
    <x v="99"/>
    <x v="0"/>
    <x v="50"/>
    <x v="44"/>
    <x v="1"/>
  </r>
  <r>
    <x v="19"/>
    <x v="2"/>
    <x v="1"/>
    <x v="50"/>
    <x v="9"/>
    <x v="1"/>
  </r>
  <r>
    <x v="0"/>
    <x v="8"/>
    <x v="0"/>
    <x v="499"/>
    <x v="390"/>
    <x v="342"/>
  </r>
  <r>
    <x v="0"/>
    <x v="40"/>
    <x v="1"/>
    <x v="500"/>
    <x v="391"/>
    <x v="343"/>
  </r>
  <r>
    <x v="20"/>
    <x v="37"/>
    <x v="0"/>
    <x v="501"/>
    <x v="9"/>
    <x v="2"/>
  </r>
  <r>
    <x v="20"/>
    <x v="108"/>
    <x v="1"/>
    <x v="502"/>
    <x v="392"/>
    <x v="344"/>
  </r>
  <r>
    <x v="1"/>
    <x v="9"/>
    <x v="1"/>
    <x v="362"/>
    <x v="245"/>
    <x v="345"/>
  </r>
  <r>
    <x v="1"/>
    <x v="86"/>
    <x v="1"/>
    <x v="503"/>
    <x v="393"/>
    <x v="346"/>
  </r>
  <r>
    <x v="2"/>
    <x v="64"/>
    <x v="0"/>
    <x v="504"/>
    <x v="394"/>
    <x v="347"/>
  </r>
  <r>
    <x v="2"/>
    <x v="125"/>
    <x v="1"/>
    <x v="505"/>
    <x v="395"/>
    <x v="348"/>
  </r>
  <r>
    <x v="3"/>
    <x v="155"/>
    <x v="1"/>
    <x v="506"/>
    <x v="396"/>
    <x v="324"/>
  </r>
  <r>
    <x v="4"/>
    <x v="66"/>
    <x v="1"/>
    <x v="507"/>
    <x v="397"/>
    <x v="186"/>
  </r>
  <r>
    <x v="4"/>
    <x v="156"/>
    <x v="0"/>
    <x v="180"/>
    <x v="242"/>
    <x v="39"/>
  </r>
  <r>
    <x v="5"/>
    <x v="88"/>
    <x v="1"/>
    <x v="508"/>
    <x v="398"/>
    <x v="210"/>
  </r>
  <r>
    <x v="5"/>
    <x v="108"/>
    <x v="1"/>
    <x v="147"/>
    <x v="130"/>
    <x v="116"/>
  </r>
  <r>
    <x v="6"/>
    <x v="16"/>
    <x v="1"/>
    <x v="509"/>
    <x v="196"/>
    <x v="349"/>
  </r>
  <r>
    <x v="7"/>
    <x v="17"/>
    <x v="1"/>
    <x v="510"/>
    <x v="399"/>
    <x v="264"/>
  </r>
  <r>
    <x v="7"/>
    <x v="115"/>
    <x v="1"/>
    <x v="511"/>
    <x v="400"/>
    <x v="350"/>
  </r>
  <r>
    <x v="8"/>
    <x v="150"/>
    <x v="1"/>
    <x v="512"/>
    <x v="401"/>
    <x v="325"/>
  </r>
  <r>
    <x v="8"/>
    <x v="26"/>
    <x v="1"/>
    <x v="513"/>
    <x v="402"/>
    <x v="351"/>
  </r>
  <r>
    <x v="8"/>
    <x v="111"/>
    <x v="0"/>
    <x v="383"/>
    <x v="44"/>
    <x v="1"/>
  </r>
  <r>
    <x v="8"/>
    <x v="88"/>
    <x v="1"/>
    <x v="498"/>
    <x v="403"/>
    <x v="82"/>
  </r>
  <r>
    <x v="9"/>
    <x v="75"/>
    <x v="0"/>
    <x v="514"/>
    <x v="404"/>
    <x v="352"/>
  </r>
  <r>
    <x v="9"/>
    <x v="99"/>
    <x v="1"/>
    <x v="515"/>
    <x v="44"/>
    <x v="1"/>
  </r>
  <r>
    <x v="9"/>
    <x v="97"/>
    <x v="0"/>
    <x v="516"/>
    <x v="405"/>
    <x v="35"/>
  </r>
  <r>
    <x v="10"/>
    <x v="29"/>
    <x v="1"/>
    <x v="517"/>
    <x v="406"/>
    <x v="259"/>
  </r>
  <r>
    <x v="10"/>
    <x v="99"/>
    <x v="0"/>
    <x v="180"/>
    <x v="44"/>
    <x v="1"/>
  </r>
  <r>
    <x v="11"/>
    <x v="96"/>
    <x v="1"/>
    <x v="201"/>
    <x v="407"/>
    <x v="208"/>
  </r>
  <r>
    <x v="11"/>
    <x v="2"/>
    <x v="1"/>
    <x v="8"/>
    <x v="25"/>
    <x v="1"/>
  </r>
  <r>
    <x v="12"/>
    <x v="24"/>
    <x v="1"/>
    <x v="59"/>
    <x v="37"/>
    <x v="1"/>
  </r>
  <r>
    <x v="12"/>
    <x v="1"/>
    <x v="1"/>
    <x v="59"/>
    <x v="37"/>
    <x v="1"/>
  </r>
  <r>
    <x v="12"/>
    <x v="152"/>
    <x v="1"/>
    <x v="518"/>
    <x v="408"/>
    <x v="353"/>
  </r>
  <r>
    <x v="12"/>
    <x v="103"/>
    <x v="0"/>
    <x v="165"/>
    <x v="73"/>
    <x v="162"/>
  </r>
  <r>
    <x v="21"/>
    <x v="13"/>
    <x v="1"/>
    <x v="519"/>
    <x v="22"/>
    <x v="127"/>
  </r>
  <r>
    <x v="21"/>
    <x v="151"/>
    <x v="1"/>
    <x v="347"/>
    <x v="93"/>
    <x v="39"/>
  </r>
  <r>
    <x v="21"/>
    <x v="71"/>
    <x v="1"/>
    <x v="483"/>
    <x v="376"/>
    <x v="190"/>
  </r>
  <r>
    <x v="21"/>
    <x v="48"/>
    <x v="0"/>
    <x v="520"/>
    <x v="44"/>
    <x v="1"/>
  </r>
  <r>
    <x v="13"/>
    <x v="33"/>
    <x v="0"/>
    <x v="521"/>
    <x v="409"/>
    <x v="354"/>
  </r>
  <r>
    <x v="13"/>
    <x v="43"/>
    <x v="0"/>
    <x v="522"/>
    <x v="410"/>
    <x v="280"/>
  </r>
  <r>
    <x v="13"/>
    <x v="99"/>
    <x v="1"/>
    <x v="523"/>
    <x v="44"/>
    <x v="1"/>
  </r>
  <r>
    <x v="14"/>
    <x v="37"/>
    <x v="1"/>
    <x v="524"/>
    <x v="9"/>
    <x v="2"/>
  </r>
  <r>
    <x v="15"/>
    <x v="75"/>
    <x v="1"/>
    <x v="525"/>
    <x v="411"/>
    <x v="355"/>
  </r>
  <r>
    <x v="15"/>
    <x v="18"/>
    <x v="1"/>
    <x v="1"/>
    <x v="1"/>
    <x v="1"/>
  </r>
  <r>
    <x v="16"/>
    <x v="8"/>
    <x v="0"/>
    <x v="526"/>
    <x v="412"/>
    <x v="356"/>
  </r>
  <r>
    <x v="16"/>
    <x v="99"/>
    <x v="0"/>
    <x v="262"/>
    <x v="44"/>
    <x v="1"/>
  </r>
  <r>
    <x v="16"/>
    <x v="104"/>
    <x v="1"/>
    <x v="527"/>
    <x v="413"/>
    <x v="357"/>
  </r>
  <r>
    <x v="16"/>
    <x v="91"/>
    <x v="1"/>
    <x v="528"/>
    <x v="414"/>
    <x v="182"/>
  </r>
  <r>
    <x v="0"/>
    <x v="145"/>
    <x v="1"/>
    <x v="529"/>
    <x v="415"/>
    <x v="289"/>
  </r>
  <r>
    <x v="0"/>
    <x v="113"/>
    <x v="1"/>
    <x v="1"/>
    <x v="1"/>
    <x v="2"/>
  </r>
  <r>
    <x v="20"/>
    <x v="148"/>
    <x v="1"/>
    <x v="291"/>
    <x v="229"/>
    <x v="358"/>
  </r>
  <r>
    <x v="20"/>
    <x v="157"/>
    <x v="1"/>
    <x v="93"/>
    <x v="25"/>
    <x v="9"/>
  </r>
  <r>
    <x v="20"/>
    <x v="97"/>
    <x v="1"/>
    <x v="460"/>
    <x v="359"/>
    <x v="359"/>
  </r>
  <r>
    <x v="2"/>
    <x v="116"/>
    <x v="1"/>
    <x v="530"/>
    <x v="44"/>
    <x v="1"/>
  </r>
  <r>
    <x v="2"/>
    <x v="3"/>
    <x v="0"/>
    <x v="531"/>
    <x v="1"/>
    <x v="2"/>
  </r>
  <r>
    <x v="2"/>
    <x v="59"/>
    <x v="0"/>
    <x v="147"/>
    <x v="22"/>
    <x v="22"/>
  </r>
  <r>
    <x v="2"/>
    <x v="40"/>
    <x v="0"/>
    <x v="20"/>
    <x v="19"/>
    <x v="9"/>
  </r>
  <r>
    <x v="2"/>
    <x v="47"/>
    <x v="1"/>
    <x v="532"/>
    <x v="416"/>
    <x v="360"/>
  </r>
  <r>
    <x v="4"/>
    <x v="0"/>
    <x v="0"/>
    <x v="533"/>
    <x v="417"/>
    <x v="90"/>
  </r>
  <r>
    <x v="5"/>
    <x v="118"/>
    <x v="1"/>
    <x v="191"/>
    <x v="160"/>
    <x v="361"/>
  </r>
  <r>
    <x v="6"/>
    <x v="65"/>
    <x v="1"/>
    <x v="129"/>
    <x v="114"/>
    <x v="362"/>
  </r>
  <r>
    <x v="6"/>
    <x v="88"/>
    <x v="0"/>
    <x v="534"/>
    <x v="418"/>
    <x v="363"/>
  </r>
  <r>
    <x v="6"/>
    <x v="86"/>
    <x v="0"/>
    <x v="535"/>
    <x v="419"/>
    <x v="364"/>
  </r>
  <r>
    <x v="7"/>
    <x v="97"/>
    <x v="1"/>
    <x v="227"/>
    <x v="420"/>
    <x v="365"/>
  </r>
  <r>
    <x v="8"/>
    <x v="27"/>
    <x v="1"/>
    <x v="536"/>
    <x v="421"/>
    <x v="151"/>
  </r>
  <r>
    <x v="8"/>
    <x v="48"/>
    <x v="0"/>
    <x v="537"/>
    <x v="44"/>
    <x v="1"/>
  </r>
  <r>
    <x v="9"/>
    <x v="117"/>
    <x v="1"/>
    <x v="538"/>
    <x v="422"/>
    <x v="278"/>
  </r>
  <r>
    <x v="9"/>
    <x v="24"/>
    <x v="1"/>
    <x v="8"/>
    <x v="25"/>
    <x v="1"/>
  </r>
  <r>
    <x v="9"/>
    <x v="97"/>
    <x v="1"/>
    <x v="539"/>
    <x v="423"/>
    <x v="366"/>
  </r>
  <r>
    <x v="9"/>
    <x v="14"/>
    <x v="1"/>
    <x v="540"/>
    <x v="424"/>
    <x v="367"/>
  </r>
  <r>
    <x v="10"/>
    <x v="76"/>
    <x v="0"/>
    <x v="331"/>
    <x v="213"/>
    <x v="42"/>
  </r>
  <r>
    <x v="10"/>
    <x v="2"/>
    <x v="1"/>
    <x v="1"/>
    <x v="1"/>
    <x v="1"/>
  </r>
  <r>
    <x v="11"/>
    <x v="30"/>
    <x v="1"/>
    <x v="446"/>
    <x v="425"/>
    <x v="368"/>
  </r>
  <r>
    <x v="11"/>
    <x v="20"/>
    <x v="1"/>
    <x v="541"/>
    <x v="426"/>
    <x v="349"/>
  </r>
  <r>
    <x v="11"/>
    <x v="99"/>
    <x v="0"/>
    <x v="30"/>
    <x v="44"/>
    <x v="1"/>
  </r>
  <r>
    <x v="12"/>
    <x v="130"/>
    <x v="1"/>
    <x v="59"/>
    <x v="37"/>
    <x v="1"/>
  </r>
  <r>
    <x v="21"/>
    <x v="113"/>
    <x v="1"/>
    <x v="1"/>
    <x v="1"/>
    <x v="1"/>
  </r>
  <r>
    <x v="21"/>
    <x v="5"/>
    <x v="0"/>
    <x v="431"/>
    <x v="335"/>
    <x v="159"/>
  </r>
  <r>
    <x v="21"/>
    <x v="98"/>
    <x v="1"/>
    <x v="542"/>
    <x v="44"/>
    <x v="1"/>
  </r>
  <r>
    <x v="21"/>
    <x v="86"/>
    <x v="1"/>
    <x v="543"/>
    <x v="427"/>
    <x v="369"/>
  </r>
  <r>
    <x v="13"/>
    <x v="37"/>
    <x v="0"/>
    <x v="544"/>
    <x v="2"/>
    <x v="2"/>
  </r>
  <r>
    <x v="13"/>
    <x v="8"/>
    <x v="1"/>
    <x v="545"/>
    <x v="428"/>
    <x v="370"/>
  </r>
  <r>
    <x v="13"/>
    <x v="141"/>
    <x v="1"/>
    <x v="164"/>
    <x v="128"/>
    <x v="30"/>
  </r>
  <r>
    <x v="13"/>
    <x v="74"/>
    <x v="0"/>
    <x v="546"/>
    <x v="44"/>
    <x v="1"/>
  </r>
  <r>
    <x v="13"/>
    <x v="14"/>
    <x v="0"/>
    <x v="547"/>
    <x v="429"/>
    <x v="371"/>
  </r>
  <r>
    <x v="14"/>
    <x v="94"/>
    <x v="0"/>
    <x v="548"/>
    <x v="25"/>
    <x v="2"/>
  </r>
  <r>
    <x v="14"/>
    <x v="87"/>
    <x v="1"/>
    <x v="39"/>
    <x v="246"/>
    <x v="91"/>
  </r>
  <r>
    <x v="14"/>
    <x v="12"/>
    <x v="1"/>
    <x v="510"/>
    <x v="430"/>
    <x v="372"/>
  </r>
  <r>
    <x v="14"/>
    <x v="141"/>
    <x v="1"/>
    <x v="30"/>
    <x v="2"/>
    <x v="9"/>
  </r>
  <r>
    <x v="15"/>
    <x v="8"/>
    <x v="1"/>
    <x v="549"/>
    <x v="431"/>
    <x v="373"/>
  </r>
  <r>
    <x v="16"/>
    <x v="118"/>
    <x v="1"/>
    <x v="1"/>
    <x v="1"/>
    <x v="1"/>
  </r>
  <r>
    <x v="17"/>
    <x v="3"/>
    <x v="0"/>
    <x v="550"/>
    <x v="19"/>
    <x v="2"/>
  </r>
  <r>
    <x v="17"/>
    <x v="78"/>
    <x v="1"/>
    <x v="1"/>
    <x v="1"/>
    <x v="1"/>
  </r>
  <r>
    <x v="17"/>
    <x v="40"/>
    <x v="1"/>
    <x v="551"/>
    <x v="432"/>
    <x v="374"/>
  </r>
  <r>
    <x v="18"/>
    <x v="99"/>
    <x v="0"/>
    <x v="523"/>
    <x v="44"/>
    <x v="1"/>
  </r>
  <r>
    <x v="0"/>
    <x v="33"/>
    <x v="0"/>
    <x v="552"/>
    <x v="433"/>
    <x v="375"/>
  </r>
  <r>
    <x v="0"/>
    <x v="74"/>
    <x v="1"/>
    <x v="553"/>
    <x v="19"/>
    <x v="9"/>
  </r>
  <r>
    <x v="0"/>
    <x v="7"/>
    <x v="1"/>
    <x v="504"/>
    <x v="394"/>
    <x v="347"/>
  </r>
  <r>
    <x v="20"/>
    <x v="134"/>
    <x v="1"/>
    <x v="500"/>
    <x v="164"/>
    <x v="376"/>
  </r>
  <r>
    <x v="1"/>
    <x v="8"/>
    <x v="0"/>
    <x v="487"/>
    <x v="380"/>
    <x v="292"/>
  </r>
  <r>
    <x v="2"/>
    <x v="79"/>
    <x v="1"/>
    <x v="416"/>
    <x v="133"/>
    <x v="71"/>
  </r>
  <r>
    <x v="2"/>
    <x v="97"/>
    <x v="0"/>
    <x v="554"/>
    <x v="356"/>
    <x v="372"/>
  </r>
  <r>
    <x v="3"/>
    <x v="87"/>
    <x v="1"/>
    <x v="383"/>
    <x v="12"/>
    <x v="329"/>
  </r>
  <r>
    <x v="3"/>
    <x v="27"/>
    <x v="1"/>
    <x v="178"/>
    <x v="150"/>
    <x v="87"/>
  </r>
  <r>
    <x v="3"/>
    <x v="97"/>
    <x v="1"/>
    <x v="555"/>
    <x v="434"/>
    <x v="377"/>
  </r>
  <r>
    <x v="3"/>
    <x v="118"/>
    <x v="1"/>
    <x v="556"/>
    <x v="435"/>
    <x v="176"/>
  </r>
  <r>
    <x v="3"/>
    <x v="48"/>
    <x v="0"/>
    <x v="557"/>
    <x v="44"/>
    <x v="1"/>
  </r>
  <r>
    <x v="4"/>
    <x v="69"/>
    <x v="1"/>
    <x v="558"/>
    <x v="436"/>
    <x v="378"/>
  </r>
  <r>
    <x v="4"/>
    <x v="158"/>
    <x v="0"/>
    <x v="20"/>
    <x v="44"/>
    <x v="1"/>
  </r>
  <r>
    <x v="6"/>
    <x v="59"/>
    <x v="1"/>
    <x v="135"/>
    <x v="9"/>
    <x v="9"/>
  </r>
  <r>
    <x v="6"/>
    <x v="115"/>
    <x v="1"/>
    <x v="559"/>
    <x v="437"/>
    <x v="238"/>
  </r>
  <r>
    <x v="6"/>
    <x v="22"/>
    <x v="1"/>
    <x v="541"/>
    <x v="426"/>
    <x v="93"/>
  </r>
  <r>
    <x v="6"/>
    <x v="60"/>
    <x v="1"/>
    <x v="59"/>
    <x v="19"/>
    <x v="9"/>
  </r>
  <r>
    <x v="7"/>
    <x v="0"/>
    <x v="1"/>
    <x v="560"/>
    <x v="438"/>
    <x v="379"/>
  </r>
  <r>
    <x v="8"/>
    <x v="25"/>
    <x v="1"/>
    <x v="450"/>
    <x v="219"/>
    <x v="380"/>
  </r>
  <r>
    <x v="8"/>
    <x v="53"/>
    <x v="1"/>
    <x v="1"/>
    <x v="1"/>
    <x v="1"/>
  </r>
  <r>
    <x v="9"/>
    <x v="111"/>
    <x v="1"/>
    <x v="561"/>
    <x v="439"/>
    <x v="381"/>
  </r>
  <r>
    <x v="9"/>
    <x v="68"/>
    <x v="1"/>
    <x v="401"/>
    <x v="440"/>
    <x v="146"/>
  </r>
  <r>
    <x v="10"/>
    <x v="0"/>
    <x v="0"/>
    <x v="437"/>
    <x v="441"/>
    <x v="382"/>
  </r>
  <r>
    <x v="11"/>
    <x v="12"/>
    <x v="1"/>
    <x v="562"/>
    <x v="442"/>
    <x v="92"/>
  </r>
  <r>
    <x v="11"/>
    <x v="34"/>
    <x v="1"/>
    <x v="8"/>
    <x v="25"/>
    <x v="1"/>
  </r>
  <r>
    <x v="11"/>
    <x v="86"/>
    <x v="0"/>
    <x v="563"/>
    <x v="443"/>
    <x v="383"/>
  </r>
  <r>
    <x v="12"/>
    <x v="30"/>
    <x v="0"/>
    <x v="564"/>
    <x v="444"/>
    <x v="384"/>
  </r>
  <r>
    <x v="12"/>
    <x v="98"/>
    <x v="0"/>
    <x v="565"/>
    <x v="44"/>
    <x v="1"/>
  </r>
  <r>
    <x v="21"/>
    <x v="61"/>
    <x v="1"/>
    <x v="566"/>
    <x v="445"/>
    <x v="385"/>
  </r>
  <r>
    <x v="21"/>
    <x v="52"/>
    <x v="1"/>
    <x v="20"/>
    <x v="19"/>
    <x v="1"/>
  </r>
  <r>
    <x v="21"/>
    <x v="98"/>
    <x v="0"/>
    <x v="567"/>
    <x v="1"/>
    <x v="1"/>
  </r>
  <r>
    <x v="13"/>
    <x v="14"/>
    <x v="1"/>
    <x v="568"/>
    <x v="446"/>
    <x v="386"/>
  </r>
  <r>
    <x v="14"/>
    <x v="55"/>
    <x v="1"/>
    <x v="302"/>
    <x v="440"/>
    <x v="91"/>
  </r>
  <r>
    <x v="15"/>
    <x v="33"/>
    <x v="0"/>
    <x v="569"/>
    <x v="447"/>
    <x v="183"/>
  </r>
  <r>
    <x v="15"/>
    <x v="142"/>
    <x v="0"/>
    <x v="406"/>
    <x v="22"/>
    <x v="1"/>
  </r>
  <r>
    <x v="15"/>
    <x v="9"/>
    <x v="0"/>
    <x v="570"/>
    <x v="19"/>
    <x v="2"/>
  </r>
  <r>
    <x v="16"/>
    <x v="112"/>
    <x v="0"/>
    <x v="571"/>
    <x v="448"/>
    <x v="258"/>
  </r>
  <r>
    <x v="16"/>
    <x v="101"/>
    <x v="1"/>
    <x v="572"/>
    <x v="449"/>
    <x v="387"/>
  </r>
  <r>
    <x v="16"/>
    <x v="57"/>
    <x v="0"/>
    <x v="1"/>
    <x v="1"/>
    <x v="1"/>
  </r>
  <r>
    <x v="17"/>
    <x v="52"/>
    <x v="1"/>
    <x v="1"/>
    <x v="1"/>
    <x v="1"/>
  </r>
  <r>
    <x v="17"/>
    <x v="68"/>
    <x v="1"/>
    <x v="573"/>
    <x v="450"/>
    <x v="388"/>
  </r>
  <r>
    <x v="17"/>
    <x v="71"/>
    <x v="1"/>
    <x v="574"/>
    <x v="3"/>
    <x v="354"/>
  </r>
  <r>
    <x v="18"/>
    <x v="90"/>
    <x v="1"/>
    <x v="1"/>
    <x v="1"/>
    <x v="1"/>
  </r>
  <r>
    <x v="18"/>
    <x v="104"/>
    <x v="0"/>
    <x v="1"/>
    <x v="1"/>
    <x v="1"/>
  </r>
  <r>
    <x v="19"/>
    <x v="75"/>
    <x v="1"/>
    <x v="575"/>
    <x v="451"/>
    <x v="389"/>
  </r>
  <r>
    <x v="19"/>
    <x v="93"/>
    <x v="1"/>
    <x v="222"/>
    <x v="180"/>
    <x v="176"/>
  </r>
  <r>
    <x v="19"/>
    <x v="98"/>
    <x v="0"/>
    <x v="64"/>
    <x v="19"/>
    <x v="9"/>
  </r>
  <r>
    <x v="19"/>
    <x v="130"/>
    <x v="1"/>
    <x v="50"/>
    <x v="9"/>
    <x v="1"/>
  </r>
  <r>
    <x v="19"/>
    <x v="80"/>
    <x v="1"/>
    <x v="576"/>
    <x v="452"/>
    <x v="257"/>
  </r>
  <r>
    <x v="0"/>
    <x v="62"/>
    <x v="0"/>
    <x v="38"/>
    <x v="44"/>
    <x v="1"/>
  </r>
  <r>
    <x v="0"/>
    <x v="133"/>
    <x v="1"/>
    <x v="226"/>
    <x v="24"/>
    <x v="117"/>
  </r>
  <r>
    <x v="20"/>
    <x v="145"/>
    <x v="1"/>
    <x v="577"/>
    <x v="453"/>
    <x v="390"/>
  </r>
  <r>
    <x v="20"/>
    <x v="48"/>
    <x v="0"/>
    <x v="578"/>
    <x v="44"/>
    <x v="1"/>
  </r>
  <r>
    <x v="1"/>
    <x v="94"/>
    <x v="1"/>
    <x v="579"/>
    <x v="2"/>
    <x v="9"/>
  </r>
  <r>
    <x v="1"/>
    <x v="3"/>
    <x v="1"/>
    <x v="580"/>
    <x v="44"/>
    <x v="1"/>
  </r>
  <r>
    <x v="2"/>
    <x v="85"/>
    <x v="1"/>
    <x v="581"/>
    <x v="454"/>
    <x v="206"/>
  </r>
  <r>
    <x v="3"/>
    <x v="108"/>
    <x v="1"/>
    <x v="388"/>
    <x v="455"/>
    <x v="137"/>
  </r>
  <r>
    <x v="4"/>
    <x v="37"/>
    <x v="1"/>
    <x v="131"/>
    <x v="44"/>
    <x v="1"/>
  </r>
  <r>
    <x v="4"/>
    <x v="155"/>
    <x v="1"/>
    <x v="122"/>
    <x v="107"/>
    <x v="391"/>
  </r>
  <r>
    <x v="4"/>
    <x v="14"/>
    <x v="1"/>
    <x v="582"/>
    <x v="456"/>
    <x v="392"/>
  </r>
  <r>
    <x v="5"/>
    <x v="37"/>
    <x v="0"/>
    <x v="583"/>
    <x v="37"/>
    <x v="21"/>
  </r>
  <r>
    <x v="5"/>
    <x v="135"/>
    <x v="1"/>
    <x v="584"/>
    <x v="457"/>
    <x v="393"/>
  </r>
  <r>
    <x v="6"/>
    <x v="69"/>
    <x v="1"/>
    <x v="585"/>
    <x v="458"/>
    <x v="394"/>
  </r>
  <r>
    <x v="6"/>
    <x v="78"/>
    <x v="1"/>
    <x v="8"/>
    <x v="1"/>
    <x v="2"/>
  </r>
  <r>
    <x v="7"/>
    <x v="27"/>
    <x v="1"/>
    <x v="586"/>
    <x v="360"/>
    <x v="395"/>
  </r>
  <r>
    <x v="8"/>
    <x v="140"/>
    <x v="1"/>
    <x v="587"/>
    <x v="459"/>
    <x v="396"/>
  </r>
  <r>
    <x v="8"/>
    <x v="3"/>
    <x v="0"/>
    <x v="588"/>
    <x v="19"/>
    <x v="2"/>
  </r>
  <r>
    <x v="8"/>
    <x v="146"/>
    <x v="1"/>
    <x v="589"/>
    <x v="14"/>
    <x v="30"/>
  </r>
  <r>
    <x v="8"/>
    <x v="111"/>
    <x v="1"/>
    <x v="114"/>
    <x v="44"/>
    <x v="1"/>
  </r>
  <r>
    <x v="8"/>
    <x v="115"/>
    <x v="1"/>
    <x v="590"/>
    <x v="460"/>
    <x v="397"/>
  </r>
  <r>
    <x v="10"/>
    <x v="92"/>
    <x v="1"/>
    <x v="70"/>
    <x v="64"/>
    <x v="42"/>
  </r>
  <r>
    <x v="10"/>
    <x v="111"/>
    <x v="1"/>
    <x v="591"/>
    <x v="37"/>
    <x v="46"/>
  </r>
  <r>
    <x v="10"/>
    <x v="29"/>
    <x v="0"/>
    <x v="592"/>
    <x v="461"/>
    <x v="266"/>
  </r>
  <r>
    <x v="10"/>
    <x v="1"/>
    <x v="1"/>
    <x v="1"/>
    <x v="1"/>
    <x v="1"/>
  </r>
  <r>
    <x v="10"/>
    <x v="40"/>
    <x v="1"/>
    <x v="593"/>
    <x v="462"/>
    <x v="398"/>
  </r>
  <r>
    <x v="10"/>
    <x v="48"/>
    <x v="1"/>
    <x v="594"/>
    <x v="44"/>
    <x v="1"/>
  </r>
  <r>
    <x v="11"/>
    <x v="25"/>
    <x v="0"/>
    <x v="214"/>
    <x v="463"/>
    <x v="399"/>
  </r>
  <r>
    <x v="11"/>
    <x v="128"/>
    <x v="1"/>
    <x v="595"/>
    <x v="464"/>
    <x v="400"/>
  </r>
  <r>
    <x v="12"/>
    <x v="23"/>
    <x v="1"/>
    <x v="372"/>
    <x v="465"/>
    <x v="121"/>
  </r>
  <r>
    <x v="12"/>
    <x v="12"/>
    <x v="1"/>
    <x v="596"/>
    <x v="466"/>
    <x v="172"/>
  </r>
  <r>
    <x v="12"/>
    <x v="22"/>
    <x v="1"/>
    <x v="269"/>
    <x v="10"/>
    <x v="71"/>
  </r>
  <r>
    <x v="21"/>
    <x v="88"/>
    <x v="0"/>
    <x v="510"/>
    <x v="399"/>
    <x v="401"/>
  </r>
  <r>
    <x v="21"/>
    <x v="82"/>
    <x v="1"/>
    <x v="1"/>
    <x v="1"/>
    <x v="1"/>
  </r>
  <r>
    <x v="21"/>
    <x v="99"/>
    <x v="1"/>
    <x v="10"/>
    <x v="44"/>
    <x v="1"/>
  </r>
  <r>
    <x v="13"/>
    <x v="37"/>
    <x v="1"/>
    <x v="597"/>
    <x v="2"/>
    <x v="21"/>
  </r>
  <r>
    <x v="13"/>
    <x v="104"/>
    <x v="1"/>
    <x v="598"/>
    <x v="467"/>
    <x v="402"/>
  </r>
  <r>
    <x v="14"/>
    <x v="30"/>
    <x v="1"/>
    <x v="570"/>
    <x v="468"/>
    <x v="403"/>
  </r>
  <r>
    <x v="15"/>
    <x v="116"/>
    <x v="0"/>
    <x v="599"/>
    <x v="44"/>
    <x v="1"/>
  </r>
  <r>
    <x v="15"/>
    <x v="0"/>
    <x v="0"/>
    <x v="600"/>
    <x v="469"/>
    <x v="210"/>
  </r>
  <r>
    <x v="15"/>
    <x v="141"/>
    <x v="1"/>
    <x v="8"/>
    <x v="25"/>
    <x v="1"/>
  </r>
  <r>
    <x v="15"/>
    <x v="71"/>
    <x v="0"/>
    <x v="1"/>
    <x v="1"/>
    <x v="2"/>
  </r>
  <r>
    <x v="17"/>
    <x v="14"/>
    <x v="0"/>
    <x v="601"/>
    <x v="470"/>
    <x v="404"/>
  </r>
  <r>
    <x v="19"/>
    <x v="119"/>
    <x v="1"/>
    <x v="50"/>
    <x v="9"/>
    <x v="1"/>
  </r>
  <r>
    <x v="19"/>
    <x v="105"/>
    <x v="1"/>
    <x v="50"/>
    <x v="9"/>
    <x v="1"/>
  </r>
  <r>
    <x v="19"/>
    <x v="18"/>
    <x v="1"/>
    <x v="50"/>
    <x v="9"/>
    <x v="1"/>
  </r>
  <r>
    <x v="19"/>
    <x v="74"/>
    <x v="0"/>
    <x v="263"/>
    <x v="44"/>
    <x v="1"/>
  </r>
  <r>
    <x v="0"/>
    <x v="23"/>
    <x v="1"/>
    <x v="602"/>
    <x v="160"/>
    <x v="15"/>
  </r>
  <r>
    <x v="0"/>
    <x v="93"/>
    <x v="1"/>
    <x v="603"/>
    <x v="471"/>
    <x v="405"/>
  </r>
  <r>
    <x v="20"/>
    <x v="41"/>
    <x v="0"/>
    <x v="10"/>
    <x v="19"/>
    <x v="2"/>
  </r>
  <r>
    <x v="20"/>
    <x v="20"/>
    <x v="1"/>
    <x v="604"/>
    <x v="472"/>
    <x v="406"/>
  </r>
  <r>
    <x v="20"/>
    <x v="109"/>
    <x v="0"/>
    <x v="605"/>
    <x v="44"/>
    <x v="1"/>
  </r>
  <r>
    <x v="20"/>
    <x v="68"/>
    <x v="1"/>
    <x v="401"/>
    <x v="440"/>
    <x v="163"/>
  </r>
  <r>
    <x v="1"/>
    <x v="159"/>
    <x v="1"/>
    <x v="606"/>
    <x v="43"/>
    <x v="39"/>
  </r>
  <r>
    <x v="3"/>
    <x v="65"/>
    <x v="1"/>
    <x v="607"/>
    <x v="473"/>
    <x v="407"/>
  </r>
  <r>
    <x v="3"/>
    <x v="127"/>
    <x v="1"/>
    <x v="576"/>
    <x v="474"/>
    <x v="360"/>
  </r>
  <r>
    <x v="4"/>
    <x v="10"/>
    <x v="1"/>
    <x v="217"/>
    <x v="46"/>
    <x v="59"/>
  </r>
  <r>
    <x v="5"/>
    <x v="65"/>
    <x v="1"/>
    <x v="230"/>
    <x v="184"/>
    <x v="408"/>
  </r>
  <r>
    <x v="5"/>
    <x v="93"/>
    <x v="1"/>
    <x v="608"/>
    <x v="475"/>
    <x v="409"/>
  </r>
  <r>
    <x v="6"/>
    <x v="75"/>
    <x v="1"/>
    <x v="609"/>
    <x v="476"/>
    <x v="410"/>
  </r>
  <r>
    <x v="6"/>
    <x v="37"/>
    <x v="0"/>
    <x v="610"/>
    <x v="1"/>
    <x v="2"/>
  </r>
  <r>
    <x v="6"/>
    <x v="13"/>
    <x v="0"/>
    <x v="611"/>
    <x v="73"/>
    <x v="163"/>
  </r>
  <r>
    <x v="6"/>
    <x v="139"/>
    <x v="1"/>
    <x v="93"/>
    <x v="1"/>
    <x v="2"/>
  </r>
  <r>
    <x v="6"/>
    <x v="104"/>
    <x v="1"/>
    <x v="612"/>
    <x v="477"/>
    <x v="411"/>
  </r>
  <r>
    <x v="7"/>
    <x v="23"/>
    <x v="1"/>
    <x v="217"/>
    <x v="289"/>
    <x v="30"/>
  </r>
  <r>
    <x v="7"/>
    <x v="86"/>
    <x v="1"/>
    <x v="613"/>
    <x v="478"/>
    <x v="412"/>
  </r>
  <r>
    <x v="7"/>
    <x v="22"/>
    <x v="1"/>
    <x v="46"/>
    <x v="123"/>
    <x v="347"/>
  </r>
  <r>
    <x v="8"/>
    <x v="117"/>
    <x v="1"/>
    <x v="614"/>
    <x v="135"/>
    <x v="206"/>
  </r>
  <r>
    <x v="8"/>
    <x v="0"/>
    <x v="0"/>
    <x v="615"/>
    <x v="479"/>
    <x v="413"/>
  </r>
  <r>
    <x v="8"/>
    <x v="13"/>
    <x v="1"/>
    <x v="616"/>
    <x v="99"/>
    <x v="220"/>
  </r>
  <r>
    <x v="8"/>
    <x v="55"/>
    <x v="1"/>
    <x v="36"/>
    <x v="163"/>
    <x v="34"/>
  </r>
  <r>
    <x v="8"/>
    <x v="76"/>
    <x v="1"/>
    <x v="617"/>
    <x v="480"/>
    <x v="330"/>
  </r>
  <r>
    <x v="9"/>
    <x v="19"/>
    <x v="1"/>
    <x v="451"/>
    <x v="481"/>
    <x v="16"/>
  </r>
  <r>
    <x v="9"/>
    <x v="12"/>
    <x v="1"/>
    <x v="461"/>
    <x v="330"/>
    <x v="172"/>
  </r>
  <r>
    <x v="9"/>
    <x v="47"/>
    <x v="1"/>
    <x v="618"/>
    <x v="482"/>
    <x v="56"/>
  </r>
  <r>
    <x v="11"/>
    <x v="54"/>
    <x v="1"/>
    <x v="8"/>
    <x v="25"/>
    <x v="1"/>
  </r>
  <r>
    <x v="12"/>
    <x v="26"/>
    <x v="1"/>
    <x v="619"/>
    <x v="56"/>
    <x v="414"/>
  </r>
  <r>
    <x v="12"/>
    <x v="151"/>
    <x v="0"/>
    <x v="394"/>
    <x v="166"/>
    <x v="2"/>
  </r>
  <r>
    <x v="21"/>
    <x v="77"/>
    <x v="1"/>
    <x v="42"/>
    <x v="483"/>
    <x v="330"/>
  </r>
  <r>
    <x v="21"/>
    <x v="105"/>
    <x v="1"/>
    <x v="8"/>
    <x v="19"/>
    <x v="1"/>
  </r>
  <r>
    <x v="21"/>
    <x v="141"/>
    <x v="0"/>
    <x v="20"/>
    <x v="1"/>
    <x v="2"/>
  </r>
  <r>
    <x v="14"/>
    <x v="88"/>
    <x v="1"/>
    <x v="396"/>
    <x v="311"/>
    <x v="415"/>
  </r>
  <r>
    <x v="15"/>
    <x v="3"/>
    <x v="1"/>
    <x v="620"/>
    <x v="1"/>
    <x v="1"/>
  </r>
  <r>
    <x v="16"/>
    <x v="112"/>
    <x v="1"/>
    <x v="621"/>
    <x v="484"/>
    <x v="416"/>
  </r>
  <r>
    <x v="16"/>
    <x v="20"/>
    <x v="1"/>
    <x v="394"/>
    <x v="309"/>
    <x v="42"/>
  </r>
  <r>
    <x v="17"/>
    <x v="75"/>
    <x v="0"/>
    <x v="622"/>
    <x v="485"/>
    <x v="417"/>
  </r>
  <r>
    <x v="17"/>
    <x v="112"/>
    <x v="1"/>
    <x v="124"/>
    <x v="109"/>
    <x v="76"/>
  </r>
  <r>
    <x v="17"/>
    <x v="76"/>
    <x v="1"/>
    <x v="623"/>
    <x v="441"/>
    <x v="214"/>
  </r>
  <r>
    <x v="18"/>
    <x v="137"/>
    <x v="0"/>
    <x v="20"/>
    <x v="1"/>
    <x v="2"/>
  </r>
  <r>
    <x v="18"/>
    <x v="61"/>
    <x v="1"/>
    <x v="624"/>
    <x v="486"/>
    <x v="418"/>
  </r>
  <r>
    <x v="19"/>
    <x v="37"/>
    <x v="0"/>
    <x v="625"/>
    <x v="25"/>
    <x v="9"/>
  </r>
  <r>
    <x v="19"/>
    <x v="30"/>
    <x v="0"/>
    <x v="424"/>
    <x v="328"/>
    <x v="206"/>
  </r>
  <r>
    <x v="19"/>
    <x v="69"/>
    <x v="1"/>
    <x v="626"/>
    <x v="487"/>
    <x v="299"/>
  </r>
  <r>
    <x v="0"/>
    <x v="119"/>
    <x v="1"/>
    <x v="1"/>
    <x v="1"/>
    <x v="2"/>
  </r>
  <r>
    <x v="0"/>
    <x v="105"/>
    <x v="1"/>
    <x v="1"/>
    <x v="1"/>
    <x v="2"/>
  </r>
  <r>
    <x v="20"/>
    <x v="5"/>
    <x v="0"/>
    <x v="627"/>
    <x v="488"/>
    <x v="419"/>
  </r>
  <r>
    <x v="20"/>
    <x v="132"/>
    <x v="0"/>
    <x v="628"/>
    <x v="25"/>
    <x v="2"/>
  </r>
  <r>
    <x v="1"/>
    <x v="0"/>
    <x v="0"/>
    <x v="629"/>
    <x v="489"/>
    <x v="420"/>
  </r>
  <r>
    <x v="1"/>
    <x v="11"/>
    <x v="1"/>
    <x v="299"/>
    <x v="249"/>
    <x v="216"/>
  </r>
  <r>
    <x v="1"/>
    <x v="40"/>
    <x v="0"/>
    <x v="46"/>
    <x v="123"/>
    <x v="211"/>
  </r>
  <r>
    <x v="2"/>
    <x v="59"/>
    <x v="1"/>
    <x v="180"/>
    <x v="43"/>
    <x v="46"/>
  </r>
  <r>
    <x v="2"/>
    <x v="46"/>
    <x v="1"/>
    <x v="630"/>
    <x v="490"/>
    <x v="421"/>
  </r>
  <r>
    <x v="4"/>
    <x v="68"/>
    <x v="1"/>
    <x v="22"/>
    <x v="21"/>
    <x v="129"/>
  </r>
  <r>
    <x v="4"/>
    <x v="14"/>
    <x v="0"/>
    <x v="631"/>
    <x v="491"/>
    <x v="422"/>
  </r>
  <r>
    <x v="4"/>
    <x v="48"/>
    <x v="0"/>
    <x v="632"/>
    <x v="44"/>
    <x v="1"/>
  </r>
  <r>
    <x v="5"/>
    <x v="126"/>
    <x v="1"/>
    <x v="23"/>
    <x v="242"/>
    <x v="2"/>
  </r>
  <r>
    <x v="5"/>
    <x v="0"/>
    <x v="0"/>
    <x v="633"/>
    <x v="492"/>
    <x v="423"/>
  </r>
  <r>
    <x v="5"/>
    <x v="11"/>
    <x v="0"/>
    <x v="8"/>
    <x v="1"/>
    <x v="2"/>
  </r>
  <r>
    <x v="5"/>
    <x v="30"/>
    <x v="1"/>
    <x v="634"/>
    <x v="367"/>
    <x v="424"/>
  </r>
  <r>
    <x v="6"/>
    <x v="67"/>
    <x v="1"/>
    <x v="81"/>
    <x v="72"/>
    <x v="403"/>
  </r>
  <r>
    <x v="7"/>
    <x v="37"/>
    <x v="1"/>
    <x v="635"/>
    <x v="37"/>
    <x v="1"/>
  </r>
  <r>
    <x v="8"/>
    <x v="94"/>
    <x v="0"/>
    <x v="636"/>
    <x v="37"/>
    <x v="21"/>
  </r>
  <r>
    <x v="8"/>
    <x v="65"/>
    <x v="1"/>
    <x v="637"/>
    <x v="493"/>
    <x v="354"/>
  </r>
  <r>
    <x v="9"/>
    <x v="65"/>
    <x v="1"/>
    <x v="102"/>
    <x v="89"/>
    <x v="266"/>
  </r>
  <r>
    <x v="10"/>
    <x v="90"/>
    <x v="1"/>
    <x v="1"/>
    <x v="1"/>
    <x v="1"/>
  </r>
  <r>
    <x v="10"/>
    <x v="104"/>
    <x v="1"/>
    <x v="638"/>
    <x v="494"/>
    <x v="425"/>
  </r>
  <r>
    <x v="11"/>
    <x v="88"/>
    <x v="0"/>
    <x v="204"/>
    <x v="135"/>
    <x v="389"/>
  </r>
  <r>
    <x v="11"/>
    <x v="105"/>
    <x v="1"/>
    <x v="8"/>
    <x v="25"/>
    <x v="1"/>
  </r>
  <r>
    <x v="11"/>
    <x v="68"/>
    <x v="1"/>
    <x v="24"/>
    <x v="23"/>
    <x v="162"/>
  </r>
  <r>
    <x v="11"/>
    <x v="100"/>
    <x v="0"/>
    <x v="30"/>
    <x v="85"/>
    <x v="46"/>
  </r>
  <r>
    <x v="12"/>
    <x v="5"/>
    <x v="1"/>
    <x v="639"/>
    <x v="495"/>
    <x v="426"/>
  </r>
  <r>
    <x v="21"/>
    <x v="152"/>
    <x v="1"/>
    <x v="290"/>
    <x v="496"/>
    <x v="427"/>
  </r>
  <r>
    <x v="21"/>
    <x v="47"/>
    <x v="1"/>
    <x v="640"/>
    <x v="497"/>
    <x v="428"/>
  </r>
  <r>
    <x v="13"/>
    <x v="110"/>
    <x v="1"/>
    <x v="108"/>
    <x v="95"/>
    <x v="10"/>
  </r>
  <r>
    <x v="13"/>
    <x v="105"/>
    <x v="1"/>
    <x v="1"/>
    <x v="1"/>
    <x v="1"/>
  </r>
  <r>
    <x v="13"/>
    <x v="97"/>
    <x v="1"/>
    <x v="1"/>
    <x v="1"/>
    <x v="1"/>
  </r>
  <r>
    <x v="14"/>
    <x v="62"/>
    <x v="1"/>
    <x v="641"/>
    <x v="19"/>
    <x v="2"/>
  </r>
  <r>
    <x v="14"/>
    <x v="92"/>
    <x v="1"/>
    <x v="642"/>
    <x v="151"/>
    <x v="51"/>
  </r>
  <r>
    <x v="14"/>
    <x v="76"/>
    <x v="1"/>
    <x v="643"/>
    <x v="498"/>
    <x v="429"/>
  </r>
  <r>
    <x v="15"/>
    <x v="69"/>
    <x v="0"/>
    <x v="8"/>
    <x v="25"/>
    <x v="21"/>
  </r>
  <r>
    <x v="15"/>
    <x v="120"/>
    <x v="0"/>
    <x v="644"/>
    <x v="499"/>
    <x v="430"/>
  </r>
  <r>
    <x v="15"/>
    <x v="16"/>
    <x v="1"/>
    <x v="181"/>
    <x v="323"/>
    <x v="14"/>
  </r>
  <r>
    <x v="16"/>
    <x v="12"/>
    <x v="0"/>
    <x v="443"/>
    <x v="500"/>
    <x v="431"/>
  </r>
  <r>
    <x v="16"/>
    <x v="105"/>
    <x v="1"/>
    <x v="10"/>
    <x v="43"/>
    <x v="1"/>
  </r>
  <r>
    <x v="16"/>
    <x v="80"/>
    <x v="0"/>
    <x v="20"/>
    <x v="1"/>
    <x v="1"/>
  </r>
  <r>
    <x v="16"/>
    <x v="47"/>
    <x v="0"/>
    <x v="1"/>
    <x v="1"/>
    <x v="2"/>
  </r>
  <r>
    <x v="17"/>
    <x v="20"/>
    <x v="1"/>
    <x v="22"/>
    <x v="21"/>
    <x v="349"/>
  </r>
  <r>
    <x v="17"/>
    <x v="31"/>
    <x v="1"/>
    <x v="645"/>
    <x v="501"/>
    <x v="432"/>
  </r>
  <r>
    <x v="17"/>
    <x v="2"/>
    <x v="1"/>
    <x v="1"/>
    <x v="1"/>
    <x v="1"/>
  </r>
  <r>
    <x v="18"/>
    <x v="62"/>
    <x v="1"/>
    <x v="595"/>
    <x v="25"/>
    <x v="21"/>
  </r>
  <r>
    <x v="18"/>
    <x v="0"/>
    <x v="1"/>
    <x v="646"/>
    <x v="502"/>
    <x v="433"/>
  </r>
  <r>
    <x v="18"/>
    <x v="88"/>
    <x v="0"/>
    <x v="647"/>
    <x v="503"/>
    <x v="207"/>
  </r>
  <r>
    <x v="18"/>
    <x v="88"/>
    <x v="1"/>
    <x v="191"/>
    <x v="160"/>
    <x v="434"/>
  </r>
  <r>
    <x v="18"/>
    <x v="93"/>
    <x v="1"/>
    <x v="648"/>
    <x v="504"/>
    <x v="435"/>
  </r>
  <r>
    <x v="18"/>
    <x v="160"/>
    <x v="1"/>
    <x v="649"/>
    <x v="505"/>
    <x v="164"/>
  </r>
  <r>
    <x v="19"/>
    <x v="113"/>
    <x v="1"/>
    <x v="50"/>
    <x v="9"/>
    <x v="1"/>
  </r>
  <r>
    <x v="0"/>
    <x v="67"/>
    <x v="1"/>
    <x v="504"/>
    <x v="394"/>
    <x v="22"/>
  </r>
  <r>
    <x v="0"/>
    <x v="161"/>
    <x v="1"/>
    <x v="8"/>
    <x v="44"/>
    <x v="1"/>
  </r>
  <r>
    <x v="0"/>
    <x v="22"/>
    <x v="1"/>
    <x v="198"/>
    <x v="166"/>
    <x v="30"/>
  </r>
  <r>
    <x v="20"/>
    <x v="59"/>
    <x v="1"/>
    <x v="284"/>
    <x v="2"/>
    <x v="21"/>
  </r>
  <r>
    <x v="20"/>
    <x v="76"/>
    <x v="1"/>
    <x v="339"/>
    <x v="506"/>
    <x v="436"/>
  </r>
  <r>
    <x v="1"/>
    <x v="49"/>
    <x v="1"/>
    <x v="180"/>
    <x v="247"/>
    <x v="127"/>
  </r>
  <r>
    <x v="1"/>
    <x v="65"/>
    <x v="0"/>
    <x v="650"/>
    <x v="507"/>
    <x v="124"/>
  </r>
  <r>
    <x v="2"/>
    <x v="93"/>
    <x v="0"/>
    <x v="651"/>
    <x v="508"/>
    <x v="437"/>
  </r>
  <r>
    <x v="3"/>
    <x v="71"/>
    <x v="1"/>
    <x v="40"/>
    <x v="39"/>
    <x v="146"/>
  </r>
  <r>
    <x v="4"/>
    <x v="133"/>
    <x v="1"/>
    <x v="206"/>
    <x v="509"/>
    <x v="299"/>
  </r>
  <r>
    <x v="5"/>
    <x v="59"/>
    <x v="1"/>
    <x v="652"/>
    <x v="381"/>
    <x v="58"/>
  </r>
  <r>
    <x v="5"/>
    <x v="71"/>
    <x v="0"/>
    <x v="653"/>
    <x v="510"/>
    <x v="438"/>
  </r>
  <r>
    <x v="5"/>
    <x v="22"/>
    <x v="1"/>
    <x v="409"/>
    <x v="232"/>
    <x v="267"/>
  </r>
  <r>
    <x v="6"/>
    <x v="43"/>
    <x v="1"/>
    <x v="654"/>
    <x v="511"/>
    <x v="269"/>
  </r>
  <r>
    <x v="6"/>
    <x v="135"/>
    <x v="1"/>
    <x v="655"/>
    <x v="474"/>
    <x v="372"/>
  </r>
  <r>
    <x v="7"/>
    <x v="33"/>
    <x v="0"/>
    <x v="656"/>
    <x v="512"/>
    <x v="202"/>
  </r>
  <r>
    <x v="7"/>
    <x v="13"/>
    <x v="0"/>
    <x v="321"/>
    <x v="23"/>
    <x v="116"/>
  </r>
  <r>
    <x v="7"/>
    <x v="65"/>
    <x v="0"/>
    <x v="39"/>
    <x v="246"/>
    <x v="6"/>
  </r>
  <r>
    <x v="7"/>
    <x v="69"/>
    <x v="0"/>
    <x v="480"/>
    <x v="240"/>
    <x v="439"/>
  </r>
  <r>
    <x v="8"/>
    <x v="23"/>
    <x v="1"/>
    <x v="406"/>
    <x v="242"/>
    <x v="46"/>
  </r>
  <r>
    <x v="8"/>
    <x v="0"/>
    <x v="1"/>
    <x v="657"/>
    <x v="513"/>
    <x v="440"/>
  </r>
  <r>
    <x v="8"/>
    <x v="110"/>
    <x v="1"/>
    <x v="153"/>
    <x v="133"/>
    <x v="222"/>
  </r>
  <r>
    <x v="8"/>
    <x v="93"/>
    <x v="0"/>
    <x v="241"/>
    <x v="144"/>
    <x v="6"/>
  </r>
  <r>
    <x v="8"/>
    <x v="7"/>
    <x v="1"/>
    <x v="658"/>
    <x v="514"/>
    <x v="353"/>
  </r>
  <r>
    <x v="9"/>
    <x v="122"/>
    <x v="1"/>
    <x v="659"/>
    <x v="85"/>
    <x v="21"/>
  </r>
  <r>
    <x v="9"/>
    <x v="50"/>
    <x v="1"/>
    <x v="284"/>
    <x v="30"/>
    <x v="21"/>
  </r>
  <r>
    <x v="9"/>
    <x v="130"/>
    <x v="1"/>
    <x v="20"/>
    <x v="19"/>
    <x v="1"/>
  </r>
  <r>
    <x v="9"/>
    <x v="104"/>
    <x v="1"/>
    <x v="660"/>
    <x v="515"/>
    <x v="231"/>
  </r>
  <r>
    <x v="10"/>
    <x v="52"/>
    <x v="1"/>
    <x v="1"/>
    <x v="1"/>
    <x v="1"/>
  </r>
  <r>
    <x v="11"/>
    <x v="111"/>
    <x v="1"/>
    <x v="661"/>
    <x v="516"/>
    <x v="441"/>
  </r>
  <r>
    <x v="12"/>
    <x v="82"/>
    <x v="1"/>
    <x v="59"/>
    <x v="37"/>
    <x v="1"/>
  </r>
  <r>
    <x v="21"/>
    <x v="32"/>
    <x v="1"/>
    <x v="0"/>
    <x v="416"/>
    <x v="10"/>
  </r>
  <r>
    <x v="21"/>
    <x v="141"/>
    <x v="1"/>
    <x v="314"/>
    <x v="43"/>
    <x v="46"/>
  </r>
  <r>
    <x v="21"/>
    <x v="22"/>
    <x v="1"/>
    <x v="313"/>
    <x v="241"/>
    <x v="349"/>
  </r>
  <r>
    <x v="13"/>
    <x v="12"/>
    <x v="0"/>
    <x v="314"/>
    <x v="37"/>
    <x v="9"/>
  </r>
  <r>
    <x v="14"/>
    <x v="40"/>
    <x v="0"/>
    <x v="20"/>
    <x v="19"/>
    <x v="2"/>
  </r>
  <r>
    <x v="15"/>
    <x v="54"/>
    <x v="1"/>
    <x v="1"/>
    <x v="1"/>
    <x v="1"/>
  </r>
  <r>
    <x v="16"/>
    <x v="18"/>
    <x v="1"/>
    <x v="10"/>
    <x v="43"/>
    <x v="1"/>
  </r>
  <r>
    <x v="16"/>
    <x v="74"/>
    <x v="0"/>
    <x v="1"/>
    <x v="44"/>
    <x v="1"/>
  </r>
  <r>
    <x v="17"/>
    <x v="113"/>
    <x v="1"/>
    <x v="1"/>
    <x v="1"/>
    <x v="1"/>
  </r>
  <r>
    <x v="17"/>
    <x v="30"/>
    <x v="0"/>
    <x v="425"/>
    <x v="329"/>
    <x v="109"/>
  </r>
  <r>
    <x v="17"/>
    <x v="124"/>
    <x v="0"/>
    <x v="336"/>
    <x v="261"/>
    <x v="442"/>
  </r>
  <r>
    <x v="18"/>
    <x v="63"/>
    <x v="1"/>
    <x v="662"/>
    <x v="517"/>
    <x v="284"/>
  </r>
  <r>
    <x v="19"/>
    <x v="114"/>
    <x v="0"/>
    <x v="523"/>
    <x v="247"/>
    <x v="14"/>
  </r>
  <r>
    <x v="19"/>
    <x v="120"/>
    <x v="0"/>
    <x v="8"/>
    <x v="25"/>
    <x v="2"/>
  </r>
  <r>
    <x v="0"/>
    <x v="13"/>
    <x v="1"/>
    <x v="598"/>
    <x v="30"/>
    <x v="30"/>
  </r>
  <r>
    <x v="0"/>
    <x v="78"/>
    <x v="1"/>
    <x v="1"/>
    <x v="1"/>
    <x v="2"/>
  </r>
  <r>
    <x v="20"/>
    <x v="69"/>
    <x v="1"/>
    <x v="663"/>
    <x v="518"/>
    <x v="443"/>
  </r>
  <r>
    <x v="20"/>
    <x v="162"/>
    <x v="1"/>
    <x v="8"/>
    <x v="25"/>
    <x v="2"/>
  </r>
  <r>
    <x v="20"/>
    <x v="22"/>
    <x v="1"/>
    <x v="664"/>
    <x v="519"/>
    <x v="16"/>
  </r>
  <r>
    <x v="1"/>
    <x v="62"/>
    <x v="0"/>
    <x v="665"/>
    <x v="9"/>
    <x v="46"/>
  </r>
  <r>
    <x v="1"/>
    <x v="67"/>
    <x v="1"/>
    <x v="181"/>
    <x v="152"/>
    <x v="275"/>
  </r>
  <r>
    <x v="2"/>
    <x v="12"/>
    <x v="1"/>
    <x v="666"/>
    <x v="520"/>
    <x v="89"/>
  </r>
  <r>
    <x v="4"/>
    <x v="33"/>
    <x v="1"/>
    <x v="667"/>
    <x v="521"/>
    <x v="444"/>
  </r>
  <r>
    <x v="4"/>
    <x v="5"/>
    <x v="1"/>
    <x v="668"/>
    <x v="522"/>
    <x v="445"/>
  </r>
  <r>
    <x v="4"/>
    <x v="40"/>
    <x v="1"/>
    <x v="669"/>
    <x v="523"/>
    <x v="446"/>
  </r>
  <r>
    <x v="4"/>
    <x v="86"/>
    <x v="1"/>
    <x v="670"/>
    <x v="524"/>
    <x v="447"/>
  </r>
  <r>
    <x v="5"/>
    <x v="116"/>
    <x v="0"/>
    <x v="671"/>
    <x v="25"/>
    <x v="9"/>
  </r>
  <r>
    <x v="5"/>
    <x v="8"/>
    <x v="0"/>
    <x v="672"/>
    <x v="525"/>
    <x v="397"/>
  </r>
  <r>
    <x v="5"/>
    <x v="8"/>
    <x v="1"/>
    <x v="673"/>
    <x v="257"/>
    <x v="105"/>
  </r>
  <r>
    <x v="6"/>
    <x v="45"/>
    <x v="1"/>
    <x v="313"/>
    <x v="241"/>
    <x v="93"/>
  </r>
  <r>
    <x v="6"/>
    <x v="52"/>
    <x v="1"/>
    <x v="1"/>
    <x v="1"/>
    <x v="2"/>
  </r>
  <r>
    <x v="7"/>
    <x v="117"/>
    <x v="1"/>
    <x v="444"/>
    <x v="285"/>
    <x v="361"/>
  </r>
  <r>
    <x v="7"/>
    <x v="104"/>
    <x v="1"/>
    <x v="674"/>
    <x v="526"/>
    <x v="403"/>
  </r>
  <r>
    <x v="8"/>
    <x v="16"/>
    <x v="1"/>
    <x v="675"/>
    <x v="527"/>
    <x v="64"/>
  </r>
  <r>
    <x v="9"/>
    <x v="86"/>
    <x v="0"/>
    <x v="676"/>
    <x v="528"/>
    <x v="448"/>
  </r>
  <r>
    <x v="10"/>
    <x v="44"/>
    <x v="1"/>
    <x v="40"/>
    <x v="44"/>
    <x v="1"/>
  </r>
  <r>
    <x v="11"/>
    <x v="12"/>
    <x v="0"/>
    <x v="677"/>
    <x v="241"/>
    <x v="129"/>
  </r>
  <r>
    <x v="11"/>
    <x v="146"/>
    <x v="1"/>
    <x v="36"/>
    <x v="14"/>
    <x v="46"/>
  </r>
  <r>
    <x v="11"/>
    <x v="88"/>
    <x v="1"/>
    <x v="122"/>
    <x v="107"/>
    <x v="449"/>
  </r>
  <r>
    <x v="11"/>
    <x v="99"/>
    <x v="1"/>
    <x v="523"/>
    <x v="1"/>
    <x v="2"/>
  </r>
  <r>
    <x v="12"/>
    <x v="111"/>
    <x v="0"/>
    <x v="20"/>
    <x v="19"/>
    <x v="1"/>
  </r>
  <r>
    <x v="12"/>
    <x v="118"/>
    <x v="1"/>
    <x v="349"/>
    <x v="269"/>
    <x v="372"/>
  </r>
  <r>
    <x v="12"/>
    <x v="48"/>
    <x v="1"/>
    <x v="678"/>
    <x v="44"/>
    <x v="1"/>
  </r>
  <r>
    <x v="21"/>
    <x v="61"/>
    <x v="0"/>
    <x v="679"/>
    <x v="529"/>
    <x v="450"/>
  </r>
  <r>
    <x v="13"/>
    <x v="58"/>
    <x v="1"/>
    <x v="621"/>
    <x v="484"/>
    <x v="451"/>
  </r>
  <r>
    <x v="13"/>
    <x v="82"/>
    <x v="1"/>
    <x v="20"/>
    <x v="19"/>
    <x v="1"/>
  </r>
  <r>
    <x v="13"/>
    <x v="68"/>
    <x v="1"/>
    <x v="680"/>
    <x v="430"/>
    <x v="286"/>
  </r>
  <r>
    <x v="13"/>
    <x v="48"/>
    <x v="0"/>
    <x v="681"/>
    <x v="44"/>
    <x v="1"/>
  </r>
  <r>
    <x v="14"/>
    <x v="57"/>
    <x v="0"/>
    <x v="1"/>
    <x v="1"/>
    <x v="1"/>
  </r>
  <r>
    <x v="15"/>
    <x v="12"/>
    <x v="1"/>
    <x v="682"/>
    <x v="530"/>
    <x v="325"/>
  </r>
  <r>
    <x v="15"/>
    <x v="147"/>
    <x v="0"/>
    <x v="683"/>
    <x v="44"/>
    <x v="1"/>
  </r>
  <r>
    <x v="15"/>
    <x v="119"/>
    <x v="1"/>
    <x v="1"/>
    <x v="1"/>
    <x v="1"/>
  </r>
  <r>
    <x v="15"/>
    <x v="91"/>
    <x v="1"/>
    <x v="684"/>
    <x v="531"/>
    <x v="370"/>
  </r>
  <r>
    <x v="15"/>
    <x v="48"/>
    <x v="1"/>
    <x v="685"/>
    <x v="44"/>
    <x v="1"/>
  </r>
  <r>
    <x v="16"/>
    <x v="151"/>
    <x v="1"/>
    <x v="20"/>
    <x v="19"/>
    <x v="1"/>
  </r>
  <r>
    <x v="16"/>
    <x v="137"/>
    <x v="1"/>
    <x v="686"/>
    <x v="191"/>
    <x v="196"/>
  </r>
  <r>
    <x v="16"/>
    <x v="93"/>
    <x v="0"/>
    <x v="687"/>
    <x v="442"/>
    <x v="237"/>
  </r>
  <r>
    <x v="17"/>
    <x v="81"/>
    <x v="0"/>
    <x v="1"/>
    <x v="1"/>
    <x v="2"/>
  </r>
  <r>
    <x v="17"/>
    <x v="160"/>
    <x v="1"/>
    <x v="20"/>
    <x v="19"/>
    <x v="1"/>
  </r>
  <r>
    <x v="17"/>
    <x v="163"/>
    <x v="0"/>
    <x v="688"/>
    <x v="532"/>
    <x v="286"/>
  </r>
  <r>
    <x v="17"/>
    <x v="14"/>
    <x v="1"/>
    <x v="689"/>
    <x v="533"/>
    <x v="452"/>
  </r>
  <r>
    <x v="18"/>
    <x v="26"/>
    <x v="0"/>
    <x v="1"/>
    <x v="1"/>
    <x v="1"/>
  </r>
  <r>
    <x v="18"/>
    <x v="8"/>
    <x v="0"/>
    <x v="81"/>
    <x v="72"/>
    <x v="453"/>
  </r>
  <r>
    <x v="18"/>
    <x v="41"/>
    <x v="1"/>
    <x v="690"/>
    <x v="170"/>
    <x v="454"/>
  </r>
  <r>
    <x v="18"/>
    <x v="68"/>
    <x v="1"/>
    <x v="300"/>
    <x v="534"/>
    <x v="455"/>
  </r>
  <r>
    <x v="19"/>
    <x v="75"/>
    <x v="0"/>
    <x v="691"/>
    <x v="535"/>
    <x v="456"/>
  </r>
  <r>
    <x v="19"/>
    <x v="14"/>
    <x v="0"/>
    <x v="45"/>
    <x v="45"/>
    <x v="37"/>
  </r>
  <r>
    <x v="0"/>
    <x v="94"/>
    <x v="1"/>
    <x v="692"/>
    <x v="1"/>
    <x v="1"/>
  </r>
  <r>
    <x v="20"/>
    <x v="125"/>
    <x v="1"/>
    <x v="693"/>
    <x v="536"/>
    <x v="457"/>
  </r>
  <r>
    <x v="20"/>
    <x v="62"/>
    <x v="0"/>
    <x v="694"/>
    <x v="25"/>
    <x v="9"/>
  </r>
  <r>
    <x v="20"/>
    <x v="132"/>
    <x v="1"/>
    <x v="475"/>
    <x v="1"/>
    <x v="1"/>
  </r>
  <r>
    <x v="20"/>
    <x v="39"/>
    <x v="1"/>
    <x v="93"/>
    <x v="2"/>
    <x v="9"/>
  </r>
  <r>
    <x v="20"/>
    <x v="47"/>
    <x v="1"/>
    <x v="51"/>
    <x v="537"/>
    <x v="458"/>
  </r>
  <r>
    <x v="1"/>
    <x v="118"/>
    <x v="1"/>
    <x v="695"/>
    <x v="538"/>
    <x v="459"/>
  </r>
  <r>
    <x v="3"/>
    <x v="3"/>
    <x v="1"/>
    <x v="696"/>
    <x v="1"/>
    <x v="1"/>
  </r>
  <r>
    <x v="3"/>
    <x v="153"/>
    <x v="1"/>
    <x v="697"/>
    <x v="539"/>
    <x v="460"/>
  </r>
  <r>
    <x v="3"/>
    <x v="50"/>
    <x v="0"/>
    <x v="698"/>
    <x v="540"/>
    <x v="461"/>
  </r>
  <r>
    <x v="3"/>
    <x v="59"/>
    <x v="0"/>
    <x v="523"/>
    <x v="247"/>
    <x v="22"/>
  </r>
  <r>
    <x v="4"/>
    <x v="147"/>
    <x v="1"/>
    <x v="699"/>
    <x v="44"/>
    <x v="1"/>
  </r>
  <r>
    <x v="4"/>
    <x v="50"/>
    <x v="0"/>
    <x v="700"/>
    <x v="541"/>
    <x v="462"/>
  </r>
  <r>
    <x v="4"/>
    <x v="71"/>
    <x v="0"/>
    <x v="701"/>
    <x v="371"/>
    <x v="463"/>
  </r>
  <r>
    <x v="5"/>
    <x v="55"/>
    <x v="0"/>
    <x v="50"/>
    <x v="25"/>
    <x v="2"/>
  </r>
  <r>
    <x v="5"/>
    <x v="156"/>
    <x v="1"/>
    <x v="20"/>
    <x v="44"/>
    <x v="1"/>
  </r>
  <r>
    <x v="7"/>
    <x v="20"/>
    <x v="1"/>
    <x v="702"/>
    <x v="542"/>
    <x v="464"/>
  </r>
  <r>
    <x v="7"/>
    <x v="5"/>
    <x v="1"/>
    <x v="703"/>
    <x v="543"/>
    <x v="465"/>
  </r>
  <r>
    <x v="7"/>
    <x v="118"/>
    <x v="1"/>
    <x v="51"/>
    <x v="537"/>
    <x v="466"/>
  </r>
  <r>
    <x v="7"/>
    <x v="100"/>
    <x v="0"/>
    <x v="147"/>
    <x v="130"/>
    <x v="14"/>
  </r>
  <r>
    <x v="8"/>
    <x v="37"/>
    <x v="0"/>
    <x v="704"/>
    <x v="19"/>
    <x v="1"/>
  </r>
  <r>
    <x v="9"/>
    <x v="52"/>
    <x v="1"/>
    <x v="20"/>
    <x v="19"/>
    <x v="1"/>
  </r>
  <r>
    <x v="9"/>
    <x v="86"/>
    <x v="1"/>
    <x v="705"/>
    <x v="544"/>
    <x v="467"/>
  </r>
  <r>
    <x v="10"/>
    <x v="36"/>
    <x v="1"/>
    <x v="1"/>
    <x v="1"/>
    <x v="1"/>
  </r>
  <r>
    <x v="11"/>
    <x v="100"/>
    <x v="1"/>
    <x v="135"/>
    <x v="128"/>
    <x v="21"/>
  </r>
  <r>
    <x v="12"/>
    <x v="94"/>
    <x v="1"/>
    <x v="706"/>
    <x v="2"/>
    <x v="2"/>
  </r>
  <r>
    <x v="12"/>
    <x v="28"/>
    <x v="0"/>
    <x v="425"/>
    <x v="545"/>
    <x v="170"/>
  </r>
  <r>
    <x v="12"/>
    <x v="41"/>
    <x v="0"/>
    <x v="707"/>
    <x v="52"/>
    <x v="64"/>
  </r>
  <r>
    <x v="12"/>
    <x v="107"/>
    <x v="0"/>
    <x v="248"/>
    <x v="530"/>
    <x v="431"/>
  </r>
  <r>
    <x v="12"/>
    <x v="107"/>
    <x v="1"/>
    <x v="161"/>
    <x v="138"/>
    <x v="213"/>
  </r>
  <r>
    <x v="12"/>
    <x v="2"/>
    <x v="1"/>
    <x v="59"/>
    <x v="37"/>
    <x v="1"/>
  </r>
  <r>
    <x v="13"/>
    <x v="92"/>
    <x v="1"/>
    <x v="463"/>
    <x v="362"/>
    <x v="302"/>
  </r>
  <r>
    <x v="13"/>
    <x v="22"/>
    <x v="1"/>
    <x v="451"/>
    <x v="481"/>
    <x v="216"/>
  </r>
  <r>
    <x v="14"/>
    <x v="43"/>
    <x v="1"/>
    <x v="1"/>
    <x v="1"/>
    <x v="1"/>
  </r>
  <r>
    <x v="14"/>
    <x v="159"/>
    <x v="1"/>
    <x v="708"/>
    <x v="53"/>
    <x v="40"/>
  </r>
  <r>
    <x v="15"/>
    <x v="33"/>
    <x v="1"/>
    <x v="709"/>
    <x v="546"/>
    <x v="468"/>
  </r>
  <r>
    <x v="15"/>
    <x v="102"/>
    <x v="1"/>
    <x v="1"/>
    <x v="1"/>
    <x v="1"/>
  </r>
  <r>
    <x v="16"/>
    <x v="19"/>
    <x v="0"/>
    <x v="1"/>
    <x v="1"/>
    <x v="1"/>
  </r>
  <r>
    <x v="17"/>
    <x v="8"/>
    <x v="0"/>
    <x v="710"/>
    <x v="547"/>
    <x v="469"/>
  </r>
  <r>
    <x v="17"/>
    <x v="8"/>
    <x v="1"/>
    <x v="711"/>
    <x v="548"/>
    <x v="102"/>
  </r>
  <r>
    <x v="17"/>
    <x v="12"/>
    <x v="1"/>
    <x v="0"/>
    <x v="549"/>
    <x v="470"/>
  </r>
  <r>
    <x v="18"/>
    <x v="81"/>
    <x v="1"/>
    <x v="82"/>
    <x v="73"/>
    <x v="163"/>
  </r>
  <r>
    <x v="18"/>
    <x v="78"/>
    <x v="1"/>
    <x v="1"/>
    <x v="1"/>
    <x v="1"/>
  </r>
  <r>
    <x v="18"/>
    <x v="79"/>
    <x v="1"/>
    <x v="712"/>
    <x v="242"/>
    <x v="22"/>
  </r>
  <r>
    <x v="18"/>
    <x v="83"/>
    <x v="0"/>
    <x v="713"/>
    <x v="550"/>
    <x v="130"/>
  </r>
  <r>
    <x v="19"/>
    <x v="116"/>
    <x v="0"/>
    <x v="39"/>
    <x v="44"/>
    <x v="1"/>
  </r>
  <r>
    <x v="19"/>
    <x v="27"/>
    <x v="1"/>
    <x v="9"/>
    <x v="551"/>
    <x v="76"/>
  </r>
  <r>
    <x v="19"/>
    <x v="61"/>
    <x v="1"/>
    <x v="714"/>
    <x v="552"/>
    <x v="471"/>
  </r>
  <r>
    <x v="19"/>
    <x v="76"/>
    <x v="1"/>
    <x v="715"/>
    <x v="553"/>
    <x v="349"/>
  </r>
  <r>
    <x v="0"/>
    <x v="55"/>
    <x v="1"/>
    <x v="55"/>
    <x v="247"/>
    <x v="22"/>
  </r>
  <r>
    <x v="0"/>
    <x v="48"/>
    <x v="0"/>
    <x v="716"/>
    <x v="44"/>
    <x v="1"/>
  </r>
  <r>
    <x v="20"/>
    <x v="96"/>
    <x v="0"/>
    <x v="234"/>
    <x v="188"/>
    <x v="252"/>
  </r>
  <r>
    <x v="1"/>
    <x v="144"/>
    <x v="1"/>
    <x v="55"/>
    <x v="22"/>
    <x v="49"/>
  </r>
  <r>
    <x v="1"/>
    <x v="145"/>
    <x v="1"/>
    <x v="717"/>
    <x v="554"/>
    <x v="472"/>
  </r>
  <r>
    <x v="1"/>
    <x v="8"/>
    <x v="1"/>
    <x v="718"/>
    <x v="555"/>
    <x v="161"/>
  </r>
  <r>
    <x v="1"/>
    <x v="50"/>
    <x v="0"/>
    <x v="719"/>
    <x v="556"/>
    <x v="473"/>
  </r>
  <r>
    <x v="2"/>
    <x v="148"/>
    <x v="0"/>
    <x v="20"/>
    <x v="19"/>
    <x v="9"/>
  </r>
  <r>
    <x v="2"/>
    <x v="8"/>
    <x v="0"/>
    <x v="720"/>
    <x v="557"/>
    <x v="474"/>
  </r>
  <r>
    <x v="3"/>
    <x v="13"/>
    <x v="1"/>
    <x v="264"/>
    <x v="259"/>
    <x v="475"/>
  </r>
  <r>
    <x v="4"/>
    <x v="59"/>
    <x v="1"/>
    <x v="180"/>
    <x v="30"/>
    <x v="9"/>
  </r>
  <r>
    <x v="4"/>
    <x v="48"/>
    <x v="1"/>
    <x v="721"/>
    <x v="44"/>
    <x v="1"/>
  </r>
  <r>
    <x v="5"/>
    <x v="49"/>
    <x v="1"/>
    <x v="15"/>
    <x v="14"/>
    <x v="117"/>
  </r>
  <r>
    <x v="5"/>
    <x v="20"/>
    <x v="1"/>
    <x v="344"/>
    <x v="558"/>
    <x v="312"/>
  </r>
  <r>
    <x v="5"/>
    <x v="14"/>
    <x v="1"/>
    <x v="722"/>
    <x v="559"/>
    <x v="476"/>
  </r>
  <r>
    <x v="6"/>
    <x v="62"/>
    <x v="0"/>
    <x v="236"/>
    <x v="19"/>
    <x v="9"/>
  </r>
  <r>
    <x v="6"/>
    <x v="0"/>
    <x v="0"/>
    <x v="723"/>
    <x v="76"/>
    <x v="477"/>
  </r>
  <r>
    <x v="6"/>
    <x v="66"/>
    <x v="1"/>
    <x v="724"/>
    <x v="560"/>
    <x v="12"/>
  </r>
  <r>
    <x v="6"/>
    <x v="41"/>
    <x v="1"/>
    <x v="20"/>
    <x v="1"/>
    <x v="2"/>
  </r>
  <r>
    <x v="7"/>
    <x v="116"/>
    <x v="1"/>
    <x v="725"/>
    <x v="25"/>
    <x v="21"/>
  </r>
  <r>
    <x v="7"/>
    <x v="95"/>
    <x v="1"/>
    <x v="726"/>
    <x v="561"/>
    <x v="478"/>
  </r>
  <r>
    <x v="9"/>
    <x v="93"/>
    <x v="1"/>
    <x v="727"/>
    <x v="562"/>
    <x v="479"/>
  </r>
  <r>
    <x v="9"/>
    <x v="105"/>
    <x v="1"/>
    <x v="8"/>
    <x v="25"/>
    <x v="1"/>
  </r>
  <r>
    <x v="9"/>
    <x v="96"/>
    <x v="0"/>
    <x v="1"/>
    <x v="1"/>
    <x v="1"/>
  </r>
  <r>
    <x v="9"/>
    <x v="48"/>
    <x v="1"/>
    <x v="728"/>
    <x v="44"/>
    <x v="1"/>
  </r>
  <r>
    <x v="10"/>
    <x v="65"/>
    <x v="1"/>
    <x v="1"/>
    <x v="1"/>
    <x v="2"/>
  </r>
  <r>
    <x v="11"/>
    <x v="3"/>
    <x v="0"/>
    <x v="729"/>
    <x v="1"/>
    <x v="1"/>
  </r>
  <r>
    <x v="11"/>
    <x v="102"/>
    <x v="1"/>
    <x v="730"/>
    <x v="563"/>
    <x v="321"/>
  </r>
  <r>
    <x v="12"/>
    <x v="69"/>
    <x v="0"/>
    <x v="226"/>
    <x v="34"/>
    <x v="480"/>
  </r>
  <r>
    <x v="12"/>
    <x v="53"/>
    <x v="1"/>
    <x v="59"/>
    <x v="37"/>
    <x v="1"/>
  </r>
  <r>
    <x v="21"/>
    <x v="78"/>
    <x v="1"/>
    <x v="731"/>
    <x v="564"/>
    <x v="388"/>
  </r>
  <r>
    <x v="21"/>
    <x v="40"/>
    <x v="1"/>
    <x v="732"/>
    <x v="565"/>
    <x v="97"/>
  </r>
  <r>
    <x v="13"/>
    <x v="26"/>
    <x v="0"/>
    <x v="733"/>
    <x v="566"/>
    <x v="192"/>
  </r>
  <r>
    <x v="13"/>
    <x v="111"/>
    <x v="1"/>
    <x v="734"/>
    <x v="1"/>
    <x v="1"/>
  </r>
  <r>
    <x v="13"/>
    <x v="80"/>
    <x v="0"/>
    <x v="735"/>
    <x v="567"/>
    <x v="481"/>
  </r>
  <r>
    <x v="13"/>
    <x v="71"/>
    <x v="1"/>
    <x v="396"/>
    <x v="311"/>
    <x v="71"/>
  </r>
  <r>
    <x v="14"/>
    <x v="3"/>
    <x v="1"/>
    <x v="736"/>
    <x v="44"/>
    <x v="1"/>
  </r>
  <r>
    <x v="15"/>
    <x v="4"/>
    <x v="0"/>
    <x v="737"/>
    <x v="9"/>
    <x v="39"/>
  </r>
  <r>
    <x v="16"/>
    <x v="61"/>
    <x v="0"/>
    <x v="302"/>
    <x v="63"/>
    <x v="121"/>
  </r>
  <r>
    <x v="16"/>
    <x v="163"/>
    <x v="1"/>
    <x v="738"/>
    <x v="568"/>
    <x v="249"/>
  </r>
  <r>
    <x v="17"/>
    <x v="129"/>
    <x v="1"/>
    <x v="739"/>
    <x v="569"/>
    <x v="482"/>
  </r>
  <r>
    <x v="18"/>
    <x v="27"/>
    <x v="1"/>
    <x v="740"/>
    <x v="0"/>
    <x v="199"/>
  </r>
  <r>
    <x v="18"/>
    <x v="142"/>
    <x v="1"/>
    <x v="1"/>
    <x v="44"/>
    <x v="1"/>
  </r>
  <r>
    <x v="18"/>
    <x v="61"/>
    <x v="0"/>
    <x v="741"/>
    <x v="570"/>
    <x v="483"/>
  </r>
  <r>
    <x v="19"/>
    <x v="114"/>
    <x v="1"/>
    <x v="401"/>
    <x v="315"/>
    <x v="34"/>
  </r>
  <r>
    <x v="19"/>
    <x v="40"/>
    <x v="1"/>
    <x v="742"/>
    <x v="505"/>
    <x v="199"/>
  </r>
  <r>
    <x v="0"/>
    <x v="157"/>
    <x v="1"/>
    <x v="743"/>
    <x v="65"/>
    <x v="484"/>
  </r>
  <r>
    <x v="0"/>
    <x v="52"/>
    <x v="1"/>
    <x v="1"/>
    <x v="1"/>
    <x v="2"/>
  </r>
  <r>
    <x v="0"/>
    <x v="134"/>
    <x v="1"/>
    <x v="744"/>
    <x v="571"/>
    <x v="485"/>
  </r>
  <r>
    <x v="20"/>
    <x v="133"/>
    <x v="1"/>
    <x v="1"/>
    <x v="1"/>
    <x v="1"/>
  </r>
  <r>
    <x v="20"/>
    <x v="76"/>
    <x v="0"/>
    <x v="745"/>
    <x v="572"/>
    <x v="486"/>
  </r>
  <r>
    <x v="20"/>
    <x v="40"/>
    <x v="1"/>
    <x v="416"/>
    <x v="324"/>
    <x v="129"/>
  </r>
  <r>
    <x v="1"/>
    <x v="131"/>
    <x v="1"/>
    <x v="424"/>
    <x v="226"/>
    <x v="8"/>
  </r>
  <r>
    <x v="2"/>
    <x v="94"/>
    <x v="1"/>
    <x v="746"/>
    <x v="9"/>
    <x v="46"/>
  </r>
  <r>
    <x v="3"/>
    <x v="64"/>
    <x v="1"/>
    <x v="112"/>
    <x v="99"/>
    <x v="415"/>
  </r>
  <r>
    <x v="3"/>
    <x v="133"/>
    <x v="1"/>
    <x v="747"/>
    <x v="301"/>
    <x v="16"/>
  </r>
  <r>
    <x v="4"/>
    <x v="33"/>
    <x v="0"/>
    <x v="748"/>
    <x v="573"/>
    <x v="487"/>
  </r>
  <r>
    <x v="4"/>
    <x v="65"/>
    <x v="0"/>
    <x v="504"/>
    <x v="394"/>
    <x v="488"/>
  </r>
  <r>
    <x v="4"/>
    <x v="38"/>
    <x v="1"/>
    <x v="20"/>
    <x v="19"/>
    <x v="9"/>
  </r>
  <r>
    <x v="5"/>
    <x v="67"/>
    <x v="1"/>
    <x v="749"/>
    <x v="574"/>
    <x v="213"/>
  </r>
  <r>
    <x v="5"/>
    <x v="155"/>
    <x v="1"/>
    <x v="715"/>
    <x v="553"/>
    <x v="434"/>
  </r>
  <r>
    <x v="5"/>
    <x v="93"/>
    <x v="0"/>
    <x v="20"/>
    <x v="19"/>
    <x v="2"/>
  </r>
  <r>
    <x v="5"/>
    <x v="97"/>
    <x v="1"/>
    <x v="750"/>
    <x v="575"/>
    <x v="489"/>
  </r>
  <r>
    <x v="6"/>
    <x v="94"/>
    <x v="0"/>
    <x v="751"/>
    <x v="25"/>
    <x v="21"/>
  </r>
  <r>
    <x v="7"/>
    <x v="125"/>
    <x v="0"/>
    <x v="93"/>
    <x v="2"/>
    <x v="21"/>
  </r>
  <r>
    <x v="7"/>
    <x v="26"/>
    <x v="0"/>
    <x v="752"/>
    <x v="576"/>
    <x v="490"/>
  </r>
  <r>
    <x v="8"/>
    <x v="14"/>
    <x v="0"/>
    <x v="753"/>
    <x v="577"/>
    <x v="491"/>
  </r>
  <r>
    <x v="9"/>
    <x v="12"/>
    <x v="0"/>
    <x v="314"/>
    <x v="9"/>
    <x v="21"/>
  </r>
  <r>
    <x v="9"/>
    <x v="88"/>
    <x v="0"/>
    <x v="475"/>
    <x v="369"/>
    <x v="190"/>
  </r>
  <r>
    <x v="9"/>
    <x v="88"/>
    <x v="1"/>
    <x v="42"/>
    <x v="483"/>
    <x v="176"/>
  </r>
  <r>
    <x v="9"/>
    <x v="82"/>
    <x v="1"/>
    <x v="20"/>
    <x v="19"/>
    <x v="1"/>
  </r>
  <r>
    <x v="10"/>
    <x v="14"/>
    <x v="0"/>
    <x v="754"/>
    <x v="578"/>
    <x v="492"/>
  </r>
  <r>
    <x v="11"/>
    <x v="5"/>
    <x v="0"/>
    <x v="218"/>
    <x v="579"/>
    <x v="493"/>
  </r>
  <r>
    <x v="12"/>
    <x v="101"/>
    <x v="1"/>
    <x v="755"/>
    <x v="580"/>
    <x v="494"/>
  </r>
  <r>
    <x v="12"/>
    <x v="18"/>
    <x v="1"/>
    <x v="59"/>
    <x v="37"/>
    <x v="1"/>
  </r>
  <r>
    <x v="21"/>
    <x v="28"/>
    <x v="1"/>
    <x v="254"/>
    <x v="581"/>
    <x v="389"/>
  </r>
  <r>
    <x v="21"/>
    <x v="30"/>
    <x v="0"/>
    <x v="756"/>
    <x v="582"/>
    <x v="290"/>
  </r>
  <r>
    <x v="21"/>
    <x v="96"/>
    <x v="1"/>
    <x v="504"/>
    <x v="394"/>
    <x v="294"/>
  </r>
  <r>
    <x v="13"/>
    <x v="3"/>
    <x v="1"/>
    <x v="757"/>
    <x v="1"/>
    <x v="1"/>
  </r>
  <r>
    <x v="13"/>
    <x v="115"/>
    <x v="1"/>
    <x v="758"/>
    <x v="583"/>
    <x v="281"/>
  </r>
  <r>
    <x v="13"/>
    <x v="130"/>
    <x v="1"/>
    <x v="20"/>
    <x v="19"/>
    <x v="1"/>
  </r>
  <r>
    <x v="13"/>
    <x v="1"/>
    <x v="1"/>
    <x v="20"/>
    <x v="19"/>
    <x v="1"/>
  </r>
  <r>
    <x v="15"/>
    <x v="94"/>
    <x v="1"/>
    <x v="759"/>
    <x v="2"/>
    <x v="21"/>
  </r>
  <r>
    <x v="16"/>
    <x v="88"/>
    <x v="0"/>
    <x v="239"/>
    <x v="193"/>
    <x v="372"/>
  </r>
  <r>
    <x v="16"/>
    <x v="82"/>
    <x v="1"/>
    <x v="10"/>
    <x v="43"/>
    <x v="1"/>
  </r>
  <r>
    <x v="17"/>
    <x v="61"/>
    <x v="0"/>
    <x v="164"/>
    <x v="53"/>
    <x v="34"/>
  </r>
  <r>
    <x v="17"/>
    <x v="143"/>
    <x v="1"/>
    <x v="760"/>
    <x v="416"/>
    <x v="137"/>
  </r>
  <r>
    <x v="18"/>
    <x v="3"/>
    <x v="1"/>
    <x v="761"/>
    <x v="1"/>
    <x v="1"/>
  </r>
  <r>
    <x v="18"/>
    <x v="12"/>
    <x v="0"/>
    <x v="762"/>
    <x v="500"/>
    <x v="406"/>
  </r>
  <r>
    <x v="19"/>
    <x v="13"/>
    <x v="0"/>
    <x v="30"/>
    <x v="44"/>
    <x v="1"/>
  </r>
  <r>
    <x v="19"/>
    <x v="118"/>
    <x v="1"/>
    <x v="335"/>
    <x v="260"/>
    <x v="57"/>
  </r>
  <r>
    <x v="19"/>
    <x v="86"/>
    <x v="1"/>
    <x v="763"/>
    <x v="584"/>
    <x v="206"/>
  </r>
  <r>
    <x v="0"/>
    <x v="12"/>
    <x v="0"/>
    <x v="764"/>
    <x v="585"/>
    <x v="372"/>
  </r>
  <r>
    <x v="0"/>
    <x v="79"/>
    <x v="1"/>
    <x v="219"/>
    <x v="254"/>
    <x v="121"/>
  </r>
  <r>
    <x v="20"/>
    <x v="116"/>
    <x v="1"/>
    <x v="765"/>
    <x v="25"/>
    <x v="9"/>
  </r>
  <r>
    <x v="20"/>
    <x v="59"/>
    <x v="0"/>
    <x v="241"/>
    <x v="36"/>
    <x v="116"/>
  </r>
  <r>
    <x v="1"/>
    <x v="37"/>
    <x v="0"/>
    <x v="766"/>
    <x v="19"/>
    <x v="1"/>
  </r>
  <r>
    <x v="1"/>
    <x v="62"/>
    <x v="1"/>
    <x v="767"/>
    <x v="25"/>
    <x v="9"/>
  </r>
  <r>
    <x v="1"/>
    <x v="0"/>
    <x v="1"/>
    <x v="768"/>
    <x v="586"/>
    <x v="495"/>
  </r>
  <r>
    <x v="1"/>
    <x v="40"/>
    <x v="1"/>
    <x v="769"/>
    <x v="587"/>
    <x v="343"/>
  </r>
  <r>
    <x v="3"/>
    <x v="69"/>
    <x v="0"/>
    <x v="770"/>
    <x v="588"/>
    <x v="496"/>
  </r>
  <r>
    <x v="3"/>
    <x v="93"/>
    <x v="0"/>
    <x v="67"/>
    <x v="409"/>
    <x v="497"/>
  </r>
  <r>
    <x v="3"/>
    <x v="48"/>
    <x v="1"/>
    <x v="771"/>
    <x v="44"/>
    <x v="1"/>
  </r>
  <r>
    <x v="4"/>
    <x v="12"/>
    <x v="1"/>
    <x v="772"/>
    <x v="300"/>
    <x v="182"/>
  </r>
  <r>
    <x v="4"/>
    <x v="59"/>
    <x v="0"/>
    <x v="164"/>
    <x v="9"/>
    <x v="9"/>
  </r>
  <r>
    <x v="5"/>
    <x v="0"/>
    <x v="1"/>
    <x v="773"/>
    <x v="589"/>
    <x v="498"/>
  </r>
  <r>
    <x v="5"/>
    <x v="33"/>
    <x v="1"/>
    <x v="774"/>
    <x v="590"/>
    <x v="192"/>
  </r>
  <r>
    <x v="5"/>
    <x v="40"/>
    <x v="1"/>
    <x v="775"/>
    <x v="591"/>
    <x v="499"/>
  </r>
  <r>
    <x v="6"/>
    <x v="113"/>
    <x v="1"/>
    <x v="20"/>
    <x v="1"/>
    <x v="2"/>
  </r>
  <r>
    <x v="7"/>
    <x v="5"/>
    <x v="0"/>
    <x v="776"/>
    <x v="592"/>
    <x v="500"/>
  </r>
  <r>
    <x v="8"/>
    <x v="62"/>
    <x v="1"/>
    <x v="215"/>
    <x v="1"/>
    <x v="2"/>
  </r>
  <r>
    <x v="8"/>
    <x v="43"/>
    <x v="1"/>
    <x v="777"/>
    <x v="593"/>
    <x v="466"/>
  </r>
  <r>
    <x v="9"/>
    <x v="43"/>
    <x v="1"/>
    <x v="1"/>
    <x v="1"/>
    <x v="1"/>
  </r>
  <r>
    <x v="9"/>
    <x v="69"/>
    <x v="0"/>
    <x v="234"/>
    <x v="188"/>
    <x v="501"/>
  </r>
  <r>
    <x v="9"/>
    <x v="48"/>
    <x v="0"/>
    <x v="778"/>
    <x v="44"/>
    <x v="1"/>
  </r>
  <r>
    <x v="10"/>
    <x v="62"/>
    <x v="1"/>
    <x v="1"/>
    <x v="44"/>
    <x v="1"/>
  </r>
  <r>
    <x v="11"/>
    <x v="65"/>
    <x v="1"/>
    <x v="61"/>
    <x v="49"/>
    <x v="64"/>
  </r>
  <r>
    <x v="11"/>
    <x v="22"/>
    <x v="1"/>
    <x v="779"/>
    <x v="283"/>
    <x v="89"/>
  </r>
  <r>
    <x v="12"/>
    <x v="30"/>
    <x v="1"/>
    <x v="780"/>
    <x v="594"/>
    <x v="502"/>
  </r>
  <r>
    <x v="12"/>
    <x v="68"/>
    <x v="1"/>
    <x v="201"/>
    <x v="407"/>
    <x v="249"/>
  </r>
  <r>
    <x v="12"/>
    <x v="74"/>
    <x v="0"/>
    <x v="673"/>
    <x v="1"/>
    <x v="2"/>
  </r>
  <r>
    <x v="12"/>
    <x v="74"/>
    <x v="1"/>
    <x v="289"/>
    <x v="1"/>
    <x v="1"/>
  </r>
  <r>
    <x v="21"/>
    <x v="32"/>
    <x v="0"/>
    <x v="93"/>
    <x v="19"/>
    <x v="1"/>
  </r>
  <r>
    <x v="21"/>
    <x v="62"/>
    <x v="1"/>
    <x v="781"/>
    <x v="19"/>
    <x v="2"/>
  </r>
  <r>
    <x v="13"/>
    <x v="111"/>
    <x v="0"/>
    <x v="293"/>
    <x v="44"/>
    <x v="1"/>
  </r>
  <r>
    <x v="14"/>
    <x v="28"/>
    <x v="1"/>
    <x v="782"/>
    <x v="595"/>
    <x v="239"/>
  </r>
  <r>
    <x v="14"/>
    <x v="5"/>
    <x v="0"/>
    <x v="783"/>
    <x v="596"/>
    <x v="503"/>
  </r>
  <r>
    <x v="14"/>
    <x v="96"/>
    <x v="1"/>
    <x v="263"/>
    <x v="197"/>
    <x v="22"/>
  </r>
  <r>
    <x v="15"/>
    <x v="48"/>
    <x v="0"/>
    <x v="784"/>
    <x v="44"/>
    <x v="1"/>
  </r>
  <r>
    <x v="16"/>
    <x v="33"/>
    <x v="1"/>
    <x v="785"/>
    <x v="597"/>
    <x v="504"/>
  </r>
  <r>
    <x v="16"/>
    <x v="47"/>
    <x v="1"/>
    <x v="786"/>
    <x v="598"/>
    <x v="505"/>
  </r>
  <r>
    <x v="17"/>
    <x v="33"/>
    <x v="1"/>
    <x v="422"/>
    <x v="127"/>
    <x v="116"/>
  </r>
  <r>
    <x v="17"/>
    <x v="19"/>
    <x v="1"/>
    <x v="787"/>
    <x v="599"/>
    <x v="199"/>
  </r>
  <r>
    <x v="17"/>
    <x v="38"/>
    <x v="0"/>
    <x v="50"/>
    <x v="9"/>
    <x v="21"/>
  </r>
  <r>
    <x v="18"/>
    <x v="163"/>
    <x v="1"/>
    <x v="541"/>
    <x v="208"/>
    <x v="116"/>
  </r>
  <r>
    <x v="18"/>
    <x v="14"/>
    <x v="0"/>
    <x v="655"/>
    <x v="291"/>
    <x v="427"/>
  </r>
  <r>
    <x v="19"/>
    <x v="19"/>
    <x v="1"/>
    <x v="6"/>
    <x v="6"/>
    <x v="45"/>
  </r>
  <r>
    <x v="19"/>
    <x v="57"/>
    <x v="1"/>
    <x v="502"/>
    <x v="392"/>
    <x v="506"/>
  </r>
  <r>
    <x v="19"/>
    <x v="61"/>
    <x v="0"/>
    <x v="788"/>
    <x v="600"/>
    <x v="507"/>
  </r>
  <r>
    <x v="0"/>
    <x v="59"/>
    <x v="0"/>
    <x v="54"/>
    <x v="22"/>
    <x v="30"/>
  </r>
  <r>
    <x v="20"/>
    <x v="62"/>
    <x v="1"/>
    <x v="789"/>
    <x v="1"/>
    <x v="1"/>
  </r>
  <r>
    <x v="20"/>
    <x v="0"/>
    <x v="1"/>
    <x v="790"/>
    <x v="601"/>
    <x v="508"/>
  </r>
  <r>
    <x v="1"/>
    <x v="69"/>
    <x v="0"/>
    <x v="791"/>
    <x v="602"/>
    <x v="509"/>
  </r>
  <r>
    <x v="1"/>
    <x v="74"/>
    <x v="0"/>
    <x v="745"/>
    <x v="1"/>
    <x v="1"/>
  </r>
  <r>
    <x v="1"/>
    <x v="139"/>
    <x v="0"/>
    <x v="792"/>
    <x v="530"/>
    <x v="51"/>
  </r>
  <r>
    <x v="1"/>
    <x v="104"/>
    <x v="1"/>
    <x v="426"/>
    <x v="330"/>
    <x v="510"/>
  </r>
  <r>
    <x v="2"/>
    <x v="149"/>
    <x v="1"/>
    <x v="312"/>
    <x v="591"/>
    <x v="82"/>
  </r>
  <r>
    <x v="2"/>
    <x v="118"/>
    <x v="1"/>
    <x v="666"/>
    <x v="345"/>
    <x v="137"/>
  </r>
  <r>
    <x v="2"/>
    <x v="86"/>
    <x v="0"/>
    <x v="793"/>
    <x v="603"/>
    <x v="511"/>
  </r>
  <r>
    <x v="4"/>
    <x v="94"/>
    <x v="0"/>
    <x v="1"/>
    <x v="44"/>
    <x v="1"/>
  </r>
  <r>
    <x v="4"/>
    <x v="5"/>
    <x v="0"/>
    <x v="794"/>
    <x v="604"/>
    <x v="101"/>
  </r>
  <r>
    <x v="5"/>
    <x v="62"/>
    <x v="1"/>
    <x v="795"/>
    <x v="19"/>
    <x v="2"/>
  </r>
  <r>
    <x v="5"/>
    <x v="55"/>
    <x v="1"/>
    <x v="507"/>
    <x v="605"/>
    <x v="262"/>
  </r>
  <r>
    <x v="6"/>
    <x v="62"/>
    <x v="1"/>
    <x v="634"/>
    <x v="25"/>
    <x v="9"/>
  </r>
  <r>
    <x v="6"/>
    <x v="116"/>
    <x v="1"/>
    <x v="796"/>
    <x v="25"/>
    <x v="2"/>
  </r>
  <r>
    <x v="6"/>
    <x v="30"/>
    <x v="0"/>
    <x v="797"/>
    <x v="606"/>
    <x v="512"/>
  </r>
  <r>
    <x v="6"/>
    <x v="15"/>
    <x v="0"/>
    <x v="164"/>
    <x v="53"/>
    <x v="117"/>
  </r>
  <r>
    <x v="6"/>
    <x v="18"/>
    <x v="1"/>
    <x v="20"/>
    <x v="1"/>
    <x v="2"/>
  </r>
  <r>
    <x v="6"/>
    <x v="53"/>
    <x v="1"/>
    <x v="50"/>
    <x v="19"/>
    <x v="9"/>
  </r>
  <r>
    <x v="7"/>
    <x v="119"/>
    <x v="1"/>
    <x v="1"/>
    <x v="1"/>
    <x v="1"/>
  </r>
  <r>
    <x v="7"/>
    <x v="60"/>
    <x v="1"/>
    <x v="8"/>
    <x v="19"/>
    <x v="2"/>
  </r>
  <r>
    <x v="9"/>
    <x v="29"/>
    <x v="0"/>
    <x v="798"/>
    <x v="44"/>
    <x v="1"/>
  </r>
  <r>
    <x v="10"/>
    <x v="27"/>
    <x v="1"/>
    <x v="83"/>
    <x v="74"/>
    <x v="173"/>
  </r>
  <r>
    <x v="10"/>
    <x v="77"/>
    <x v="1"/>
    <x v="576"/>
    <x v="607"/>
    <x v="453"/>
  </r>
  <r>
    <x v="10"/>
    <x v="58"/>
    <x v="0"/>
    <x v="108"/>
    <x v="95"/>
    <x v="216"/>
  </r>
  <r>
    <x v="11"/>
    <x v="90"/>
    <x v="1"/>
    <x v="8"/>
    <x v="25"/>
    <x v="1"/>
  </r>
  <r>
    <x v="11"/>
    <x v="111"/>
    <x v="0"/>
    <x v="599"/>
    <x v="608"/>
    <x v="513"/>
  </r>
  <r>
    <x v="12"/>
    <x v="117"/>
    <x v="1"/>
    <x v="1"/>
    <x v="44"/>
    <x v="1"/>
  </r>
  <r>
    <x v="12"/>
    <x v="151"/>
    <x v="1"/>
    <x v="799"/>
    <x v="503"/>
    <x v="121"/>
  </r>
  <r>
    <x v="21"/>
    <x v="18"/>
    <x v="1"/>
    <x v="1"/>
    <x v="1"/>
    <x v="1"/>
  </r>
  <r>
    <x v="21"/>
    <x v="104"/>
    <x v="1"/>
    <x v="800"/>
    <x v="609"/>
    <x v="514"/>
  </r>
  <r>
    <x v="13"/>
    <x v="34"/>
    <x v="1"/>
    <x v="20"/>
    <x v="19"/>
    <x v="1"/>
  </r>
  <r>
    <x v="13"/>
    <x v="47"/>
    <x v="1"/>
    <x v="801"/>
    <x v="610"/>
    <x v="515"/>
  </r>
  <r>
    <x v="14"/>
    <x v="52"/>
    <x v="1"/>
    <x v="1"/>
    <x v="1"/>
    <x v="1"/>
  </r>
  <r>
    <x v="14"/>
    <x v="1"/>
    <x v="1"/>
    <x v="1"/>
    <x v="1"/>
    <x v="1"/>
  </r>
  <r>
    <x v="14"/>
    <x v="103"/>
    <x v="1"/>
    <x v="30"/>
    <x v="43"/>
    <x v="46"/>
  </r>
  <r>
    <x v="15"/>
    <x v="113"/>
    <x v="1"/>
    <x v="1"/>
    <x v="1"/>
    <x v="1"/>
  </r>
  <r>
    <x v="15"/>
    <x v="88"/>
    <x v="0"/>
    <x v="284"/>
    <x v="30"/>
    <x v="30"/>
  </r>
  <r>
    <x v="16"/>
    <x v="63"/>
    <x v="1"/>
    <x v="94"/>
    <x v="81"/>
    <x v="516"/>
  </r>
  <r>
    <x v="16"/>
    <x v="71"/>
    <x v="1"/>
    <x v="114"/>
    <x v="41"/>
    <x v="163"/>
  </r>
  <r>
    <x v="18"/>
    <x v="93"/>
    <x v="0"/>
    <x v="422"/>
    <x v="127"/>
    <x v="117"/>
  </r>
  <r>
    <x v="18"/>
    <x v="80"/>
    <x v="1"/>
    <x v="802"/>
    <x v="611"/>
    <x v="517"/>
  </r>
  <r>
    <x v="18"/>
    <x v="129"/>
    <x v="1"/>
    <x v="803"/>
    <x v="392"/>
    <x v="41"/>
  </r>
  <r>
    <x v="19"/>
    <x v="8"/>
    <x v="0"/>
    <x v="165"/>
    <x v="140"/>
    <x v="71"/>
  </r>
  <r>
    <x v="19"/>
    <x v="48"/>
    <x v="0"/>
    <x v="804"/>
    <x v="44"/>
    <x v="1"/>
  </r>
  <r>
    <x v="0"/>
    <x v="3"/>
    <x v="1"/>
    <x v="406"/>
    <x v="44"/>
    <x v="1"/>
  </r>
  <r>
    <x v="0"/>
    <x v="93"/>
    <x v="0"/>
    <x v="805"/>
    <x v="612"/>
    <x v="518"/>
  </r>
  <r>
    <x v="20"/>
    <x v="45"/>
    <x v="1"/>
    <x v="451"/>
    <x v="481"/>
    <x v="8"/>
  </r>
  <r>
    <x v="20"/>
    <x v="7"/>
    <x v="0"/>
    <x v="20"/>
    <x v="19"/>
    <x v="9"/>
  </r>
  <r>
    <x v="1"/>
    <x v="96"/>
    <x v="1"/>
    <x v="431"/>
    <x v="335"/>
    <x v="289"/>
  </r>
  <r>
    <x v="2"/>
    <x v="145"/>
    <x v="1"/>
    <x v="308"/>
    <x v="613"/>
    <x v="506"/>
  </r>
  <r>
    <x v="2"/>
    <x v="8"/>
    <x v="1"/>
    <x v="806"/>
    <x v="614"/>
    <x v="519"/>
  </r>
  <r>
    <x v="2"/>
    <x v="108"/>
    <x v="1"/>
    <x v="807"/>
    <x v="605"/>
    <x v="520"/>
  </r>
  <r>
    <x v="2"/>
    <x v="86"/>
    <x v="1"/>
    <x v="808"/>
    <x v="615"/>
    <x v="521"/>
  </r>
  <r>
    <x v="3"/>
    <x v="66"/>
    <x v="1"/>
    <x v="809"/>
    <x v="616"/>
    <x v="503"/>
  </r>
  <r>
    <x v="3"/>
    <x v="12"/>
    <x v="1"/>
    <x v="224"/>
    <x v="583"/>
    <x v="389"/>
  </r>
  <r>
    <x v="4"/>
    <x v="109"/>
    <x v="1"/>
    <x v="810"/>
    <x v="1"/>
    <x v="1"/>
  </r>
  <r>
    <x v="4"/>
    <x v="22"/>
    <x v="1"/>
    <x v="22"/>
    <x v="21"/>
    <x v="10"/>
  </r>
  <r>
    <x v="5"/>
    <x v="87"/>
    <x v="1"/>
    <x v="168"/>
    <x v="142"/>
    <x v="273"/>
  </r>
  <r>
    <x v="5"/>
    <x v="110"/>
    <x v="1"/>
    <x v="516"/>
    <x v="405"/>
    <x v="138"/>
  </r>
  <r>
    <x v="6"/>
    <x v="15"/>
    <x v="1"/>
    <x v="811"/>
    <x v="617"/>
    <x v="522"/>
  </r>
  <r>
    <x v="6"/>
    <x v="127"/>
    <x v="1"/>
    <x v="586"/>
    <x v="369"/>
    <x v="523"/>
  </r>
  <r>
    <x v="6"/>
    <x v="1"/>
    <x v="1"/>
    <x v="8"/>
    <x v="19"/>
    <x v="9"/>
  </r>
  <r>
    <x v="6"/>
    <x v="97"/>
    <x v="0"/>
    <x v="812"/>
    <x v="618"/>
    <x v="104"/>
  </r>
  <r>
    <x v="6"/>
    <x v="118"/>
    <x v="1"/>
    <x v="45"/>
    <x v="45"/>
    <x v="503"/>
  </r>
  <r>
    <x v="7"/>
    <x v="125"/>
    <x v="1"/>
    <x v="813"/>
    <x v="619"/>
    <x v="439"/>
  </r>
  <r>
    <x v="7"/>
    <x v="97"/>
    <x v="0"/>
    <x v="814"/>
    <x v="620"/>
    <x v="524"/>
  </r>
  <r>
    <x v="7"/>
    <x v="47"/>
    <x v="1"/>
    <x v="815"/>
    <x v="621"/>
    <x v="277"/>
  </r>
  <r>
    <x v="9"/>
    <x v="96"/>
    <x v="1"/>
    <x v="73"/>
    <x v="67"/>
    <x v="220"/>
  </r>
  <r>
    <x v="10"/>
    <x v="135"/>
    <x v="0"/>
    <x v="8"/>
    <x v="19"/>
    <x v="1"/>
  </r>
  <r>
    <x v="10"/>
    <x v="96"/>
    <x v="1"/>
    <x v="313"/>
    <x v="241"/>
    <x v="525"/>
  </r>
  <r>
    <x v="10"/>
    <x v="136"/>
    <x v="1"/>
    <x v="6"/>
    <x v="163"/>
    <x v="117"/>
  </r>
  <r>
    <x v="11"/>
    <x v="5"/>
    <x v="1"/>
    <x v="157"/>
    <x v="622"/>
    <x v="247"/>
  </r>
  <r>
    <x v="11"/>
    <x v="82"/>
    <x v="1"/>
    <x v="8"/>
    <x v="25"/>
    <x v="1"/>
  </r>
  <r>
    <x v="12"/>
    <x v="37"/>
    <x v="1"/>
    <x v="816"/>
    <x v="9"/>
    <x v="21"/>
  </r>
  <r>
    <x v="12"/>
    <x v="105"/>
    <x v="1"/>
    <x v="59"/>
    <x v="37"/>
    <x v="1"/>
  </r>
  <r>
    <x v="13"/>
    <x v="113"/>
    <x v="1"/>
    <x v="1"/>
    <x v="1"/>
    <x v="1"/>
  </r>
  <r>
    <x v="13"/>
    <x v="31"/>
    <x v="0"/>
    <x v="817"/>
    <x v="623"/>
    <x v="526"/>
  </r>
  <r>
    <x v="14"/>
    <x v="33"/>
    <x v="0"/>
    <x v="818"/>
    <x v="624"/>
    <x v="82"/>
  </r>
  <r>
    <x v="14"/>
    <x v="88"/>
    <x v="0"/>
    <x v="23"/>
    <x v="82"/>
    <x v="64"/>
  </r>
  <r>
    <x v="14"/>
    <x v="80"/>
    <x v="0"/>
    <x v="819"/>
    <x v="625"/>
    <x v="527"/>
  </r>
  <r>
    <x v="14"/>
    <x v="103"/>
    <x v="0"/>
    <x v="246"/>
    <x v="163"/>
    <x v="49"/>
  </r>
  <r>
    <x v="14"/>
    <x v="48"/>
    <x v="1"/>
    <x v="820"/>
    <x v="44"/>
    <x v="1"/>
  </r>
  <r>
    <x v="15"/>
    <x v="61"/>
    <x v="0"/>
    <x v="821"/>
    <x v="626"/>
    <x v="528"/>
  </r>
  <r>
    <x v="15"/>
    <x v="52"/>
    <x v="1"/>
    <x v="1"/>
    <x v="1"/>
    <x v="1"/>
  </r>
  <r>
    <x v="16"/>
    <x v="115"/>
    <x v="1"/>
    <x v="8"/>
    <x v="25"/>
    <x v="9"/>
  </r>
  <r>
    <x v="16"/>
    <x v="34"/>
    <x v="1"/>
    <x v="284"/>
    <x v="30"/>
    <x v="1"/>
  </r>
  <r>
    <x v="18"/>
    <x v="14"/>
    <x v="1"/>
    <x v="822"/>
    <x v="627"/>
    <x v="529"/>
  </r>
  <r>
    <x v="18"/>
    <x v="143"/>
    <x v="0"/>
    <x v="50"/>
    <x v="25"/>
    <x v="2"/>
  </r>
  <r>
    <x v="18"/>
    <x v="83"/>
    <x v="1"/>
    <x v="823"/>
    <x v="628"/>
    <x v="530"/>
  </r>
  <r>
    <x v="0"/>
    <x v="79"/>
    <x v="0"/>
    <x v="824"/>
    <x v="63"/>
    <x v="312"/>
  </r>
  <r>
    <x v="0"/>
    <x v="18"/>
    <x v="1"/>
    <x v="50"/>
    <x v="44"/>
    <x v="1"/>
  </r>
  <r>
    <x v="20"/>
    <x v="0"/>
    <x v="0"/>
    <x v="825"/>
    <x v="629"/>
    <x v="531"/>
  </r>
  <r>
    <x v="20"/>
    <x v="65"/>
    <x v="1"/>
    <x v="826"/>
    <x v="630"/>
    <x v="153"/>
  </r>
  <r>
    <x v="20"/>
    <x v="79"/>
    <x v="1"/>
    <x v="59"/>
    <x v="2"/>
    <x v="46"/>
  </r>
  <r>
    <x v="1"/>
    <x v="132"/>
    <x v="1"/>
    <x v="77"/>
    <x v="1"/>
    <x v="2"/>
  </r>
  <r>
    <x v="2"/>
    <x v="144"/>
    <x v="1"/>
    <x v="263"/>
    <x v="197"/>
    <x v="21"/>
  </r>
  <r>
    <x v="2"/>
    <x v="96"/>
    <x v="1"/>
    <x v="412"/>
    <x v="320"/>
    <x v="208"/>
  </r>
  <r>
    <x v="3"/>
    <x v="13"/>
    <x v="0"/>
    <x v="219"/>
    <x v="631"/>
    <x v="64"/>
  </r>
  <r>
    <x v="3"/>
    <x v="88"/>
    <x v="0"/>
    <x v="827"/>
    <x v="632"/>
    <x v="532"/>
  </r>
  <r>
    <x v="3"/>
    <x v="134"/>
    <x v="1"/>
    <x v="219"/>
    <x v="265"/>
    <x v="8"/>
  </r>
  <r>
    <x v="4"/>
    <x v="135"/>
    <x v="0"/>
    <x v="828"/>
    <x v="162"/>
    <x v="376"/>
  </r>
  <r>
    <x v="4"/>
    <x v="88"/>
    <x v="1"/>
    <x v="318"/>
    <x v="633"/>
    <x v="169"/>
  </r>
  <r>
    <x v="5"/>
    <x v="86"/>
    <x v="0"/>
    <x v="829"/>
    <x v="634"/>
    <x v="533"/>
  </r>
  <r>
    <x v="6"/>
    <x v="54"/>
    <x v="1"/>
    <x v="20"/>
    <x v="19"/>
    <x v="9"/>
  </r>
  <r>
    <x v="6"/>
    <x v="72"/>
    <x v="1"/>
    <x v="20"/>
    <x v="19"/>
    <x v="1"/>
  </r>
  <r>
    <x v="6"/>
    <x v="68"/>
    <x v="1"/>
    <x v="830"/>
    <x v="77"/>
    <x v="229"/>
  </r>
  <r>
    <x v="7"/>
    <x v="107"/>
    <x v="1"/>
    <x v="831"/>
    <x v="635"/>
    <x v="335"/>
  </r>
  <r>
    <x v="8"/>
    <x v="94"/>
    <x v="1"/>
    <x v="832"/>
    <x v="37"/>
    <x v="46"/>
  </r>
  <r>
    <x v="8"/>
    <x v="104"/>
    <x v="1"/>
    <x v="72"/>
    <x v="66"/>
    <x v="534"/>
  </r>
  <r>
    <x v="9"/>
    <x v="135"/>
    <x v="0"/>
    <x v="20"/>
    <x v="1"/>
    <x v="2"/>
  </r>
  <r>
    <x v="9"/>
    <x v="9"/>
    <x v="1"/>
    <x v="833"/>
    <x v="25"/>
    <x v="2"/>
  </r>
  <r>
    <x v="9"/>
    <x v="5"/>
    <x v="1"/>
    <x v="834"/>
    <x v="636"/>
    <x v="535"/>
  </r>
  <r>
    <x v="10"/>
    <x v="69"/>
    <x v="1"/>
    <x v="835"/>
    <x v="637"/>
    <x v="281"/>
  </r>
  <r>
    <x v="10"/>
    <x v="82"/>
    <x v="1"/>
    <x v="1"/>
    <x v="1"/>
    <x v="1"/>
  </r>
  <r>
    <x v="10"/>
    <x v="100"/>
    <x v="1"/>
    <x v="8"/>
    <x v="25"/>
    <x v="2"/>
  </r>
  <r>
    <x v="11"/>
    <x v="69"/>
    <x v="1"/>
    <x v="836"/>
    <x v="638"/>
    <x v="536"/>
  </r>
  <r>
    <x v="12"/>
    <x v="113"/>
    <x v="1"/>
    <x v="59"/>
    <x v="37"/>
    <x v="1"/>
  </r>
  <r>
    <x v="12"/>
    <x v="99"/>
    <x v="1"/>
    <x v="54"/>
    <x v="44"/>
    <x v="1"/>
  </r>
  <r>
    <x v="12"/>
    <x v="76"/>
    <x v="0"/>
    <x v="1"/>
    <x v="1"/>
    <x v="1"/>
  </r>
  <r>
    <x v="21"/>
    <x v="100"/>
    <x v="1"/>
    <x v="326"/>
    <x v="254"/>
    <x v="162"/>
  </r>
  <r>
    <x v="13"/>
    <x v="93"/>
    <x v="1"/>
    <x v="139"/>
    <x v="122"/>
    <x v="537"/>
  </r>
  <r>
    <x v="14"/>
    <x v="57"/>
    <x v="1"/>
    <x v="289"/>
    <x v="75"/>
    <x v="538"/>
  </r>
  <r>
    <x v="14"/>
    <x v="58"/>
    <x v="1"/>
    <x v="294"/>
    <x v="293"/>
    <x v="480"/>
  </r>
  <r>
    <x v="14"/>
    <x v="130"/>
    <x v="1"/>
    <x v="1"/>
    <x v="1"/>
    <x v="1"/>
  </r>
  <r>
    <x v="15"/>
    <x v="4"/>
    <x v="1"/>
    <x v="837"/>
    <x v="85"/>
    <x v="49"/>
  </r>
  <r>
    <x v="15"/>
    <x v="120"/>
    <x v="1"/>
    <x v="838"/>
    <x v="639"/>
    <x v="539"/>
  </r>
  <r>
    <x v="15"/>
    <x v="21"/>
    <x v="1"/>
    <x v="50"/>
    <x v="2"/>
    <x v="1"/>
  </r>
  <r>
    <x v="15"/>
    <x v="86"/>
    <x v="1"/>
    <x v="839"/>
    <x v="640"/>
    <x v="540"/>
  </r>
  <r>
    <x v="16"/>
    <x v="16"/>
    <x v="0"/>
    <x v="20"/>
    <x v="19"/>
    <x v="1"/>
  </r>
  <r>
    <x v="17"/>
    <x v="81"/>
    <x v="1"/>
    <x v="840"/>
    <x v="641"/>
    <x v="541"/>
  </r>
  <r>
    <x v="17"/>
    <x v="119"/>
    <x v="1"/>
    <x v="1"/>
    <x v="1"/>
    <x v="1"/>
  </r>
  <r>
    <x v="17"/>
    <x v="120"/>
    <x v="0"/>
    <x v="841"/>
    <x v="642"/>
    <x v="542"/>
  </r>
  <r>
    <x v="17"/>
    <x v="143"/>
    <x v="0"/>
    <x v="30"/>
    <x v="43"/>
    <x v="46"/>
  </r>
  <r>
    <x v="18"/>
    <x v="119"/>
    <x v="1"/>
    <x v="1"/>
    <x v="1"/>
    <x v="1"/>
  </r>
  <r>
    <x v="18"/>
    <x v="114"/>
    <x v="1"/>
    <x v="96"/>
    <x v="242"/>
    <x v="117"/>
  </r>
  <r>
    <x v="19"/>
    <x v="3"/>
    <x v="1"/>
    <x v="842"/>
    <x v="1"/>
    <x v="1"/>
  </r>
  <r>
    <x v="19"/>
    <x v="88"/>
    <x v="0"/>
    <x v="490"/>
    <x v="381"/>
    <x v="254"/>
  </r>
  <r>
    <x v="19"/>
    <x v="143"/>
    <x v="1"/>
    <x v="1"/>
    <x v="1"/>
    <x v="1"/>
  </r>
  <r>
    <x v="0"/>
    <x v="65"/>
    <x v="1"/>
    <x v="843"/>
    <x v="643"/>
    <x v="543"/>
  </r>
  <r>
    <x v="0"/>
    <x v="85"/>
    <x v="1"/>
    <x v="844"/>
    <x v="539"/>
    <x v="544"/>
  </r>
  <r>
    <x v="20"/>
    <x v="64"/>
    <x v="0"/>
    <x v="426"/>
    <x v="330"/>
    <x v="544"/>
  </r>
  <r>
    <x v="20"/>
    <x v="125"/>
    <x v="0"/>
    <x v="20"/>
    <x v="19"/>
    <x v="1"/>
  </r>
  <r>
    <x v="20"/>
    <x v="40"/>
    <x v="0"/>
    <x v="429"/>
    <x v="333"/>
    <x v="488"/>
  </r>
  <r>
    <x v="1"/>
    <x v="66"/>
    <x v="0"/>
    <x v="135"/>
    <x v="128"/>
    <x v="21"/>
  </r>
  <r>
    <x v="2"/>
    <x v="74"/>
    <x v="0"/>
    <x v="845"/>
    <x v="1"/>
    <x v="2"/>
  </r>
  <r>
    <x v="2"/>
    <x v="139"/>
    <x v="1"/>
    <x v="232"/>
    <x v="480"/>
    <x v="215"/>
  </r>
  <r>
    <x v="3"/>
    <x v="148"/>
    <x v="1"/>
    <x v="1"/>
    <x v="1"/>
    <x v="2"/>
  </r>
  <r>
    <x v="3"/>
    <x v="12"/>
    <x v="0"/>
    <x v="846"/>
    <x v="644"/>
    <x v="545"/>
  </r>
  <r>
    <x v="4"/>
    <x v="19"/>
    <x v="1"/>
    <x v="847"/>
    <x v="465"/>
    <x v="546"/>
  </r>
  <r>
    <x v="4"/>
    <x v="135"/>
    <x v="1"/>
    <x v="848"/>
    <x v="645"/>
    <x v="467"/>
  </r>
  <r>
    <x v="4"/>
    <x v="69"/>
    <x v="0"/>
    <x v="849"/>
    <x v="646"/>
    <x v="547"/>
  </r>
  <r>
    <x v="4"/>
    <x v="109"/>
    <x v="0"/>
    <x v="850"/>
    <x v="44"/>
    <x v="1"/>
  </r>
  <r>
    <x v="5"/>
    <x v="74"/>
    <x v="1"/>
    <x v="851"/>
    <x v="25"/>
    <x v="9"/>
  </r>
  <r>
    <x v="7"/>
    <x v="62"/>
    <x v="0"/>
    <x v="852"/>
    <x v="1"/>
    <x v="1"/>
  </r>
  <r>
    <x v="7"/>
    <x v="3"/>
    <x v="0"/>
    <x v="853"/>
    <x v="1"/>
    <x v="1"/>
  </r>
  <r>
    <x v="7"/>
    <x v="146"/>
    <x v="1"/>
    <x v="38"/>
    <x v="247"/>
    <x v="30"/>
  </r>
  <r>
    <x v="7"/>
    <x v="127"/>
    <x v="1"/>
    <x v="68"/>
    <x v="142"/>
    <x v="294"/>
  </r>
  <r>
    <x v="8"/>
    <x v="75"/>
    <x v="0"/>
    <x v="854"/>
    <x v="647"/>
    <x v="548"/>
  </r>
  <r>
    <x v="9"/>
    <x v="3"/>
    <x v="0"/>
    <x v="855"/>
    <x v="2"/>
    <x v="9"/>
  </r>
  <r>
    <x v="9"/>
    <x v="0"/>
    <x v="1"/>
    <x v="856"/>
    <x v="648"/>
    <x v="549"/>
  </r>
  <r>
    <x v="9"/>
    <x v="93"/>
    <x v="0"/>
    <x v="284"/>
    <x v="30"/>
    <x v="9"/>
  </r>
  <r>
    <x v="11"/>
    <x v="23"/>
    <x v="1"/>
    <x v="857"/>
    <x v="556"/>
    <x v="299"/>
  </r>
  <r>
    <x v="11"/>
    <x v="78"/>
    <x v="1"/>
    <x v="858"/>
    <x v="649"/>
    <x v="550"/>
  </r>
  <r>
    <x v="11"/>
    <x v="52"/>
    <x v="1"/>
    <x v="8"/>
    <x v="25"/>
    <x v="1"/>
  </r>
  <r>
    <x v="11"/>
    <x v="154"/>
    <x v="0"/>
    <x v="437"/>
    <x v="44"/>
    <x v="1"/>
  </r>
  <r>
    <x v="12"/>
    <x v="98"/>
    <x v="1"/>
    <x v="859"/>
    <x v="44"/>
    <x v="1"/>
  </r>
  <r>
    <x v="12"/>
    <x v="128"/>
    <x v="1"/>
    <x v="860"/>
    <x v="650"/>
    <x v="551"/>
  </r>
  <r>
    <x v="12"/>
    <x v="100"/>
    <x v="0"/>
    <x v="388"/>
    <x v="455"/>
    <x v="229"/>
  </r>
  <r>
    <x v="21"/>
    <x v="115"/>
    <x v="1"/>
    <x v="562"/>
    <x v="651"/>
    <x v="319"/>
  </r>
  <r>
    <x v="13"/>
    <x v="77"/>
    <x v="1"/>
    <x v="687"/>
    <x v="442"/>
    <x v="230"/>
  </r>
  <r>
    <x v="13"/>
    <x v="65"/>
    <x v="1"/>
    <x v="147"/>
    <x v="130"/>
    <x v="64"/>
  </r>
  <r>
    <x v="14"/>
    <x v="37"/>
    <x v="0"/>
    <x v="861"/>
    <x v="19"/>
    <x v="1"/>
  </r>
  <r>
    <x v="14"/>
    <x v="151"/>
    <x v="1"/>
    <x v="161"/>
    <x v="327"/>
    <x v="15"/>
  </r>
  <r>
    <x v="15"/>
    <x v="5"/>
    <x v="1"/>
    <x v="24"/>
    <x v="23"/>
    <x v="91"/>
  </r>
  <r>
    <x v="16"/>
    <x v="75"/>
    <x v="0"/>
    <x v="862"/>
    <x v="652"/>
    <x v="552"/>
  </r>
  <r>
    <x v="16"/>
    <x v="137"/>
    <x v="0"/>
    <x v="381"/>
    <x v="537"/>
    <x v="466"/>
  </r>
  <r>
    <x v="16"/>
    <x v="98"/>
    <x v="0"/>
    <x v="863"/>
    <x v="19"/>
    <x v="2"/>
  </r>
  <r>
    <x v="17"/>
    <x v="75"/>
    <x v="1"/>
    <x v="864"/>
    <x v="653"/>
    <x v="553"/>
  </r>
  <r>
    <x v="17"/>
    <x v="37"/>
    <x v="0"/>
    <x v="865"/>
    <x v="44"/>
    <x v="1"/>
  </r>
  <r>
    <x v="17"/>
    <x v="34"/>
    <x v="1"/>
    <x v="20"/>
    <x v="19"/>
    <x v="1"/>
  </r>
  <r>
    <x v="17"/>
    <x v="47"/>
    <x v="1"/>
    <x v="866"/>
    <x v="654"/>
    <x v="554"/>
  </r>
  <r>
    <x v="18"/>
    <x v="82"/>
    <x v="1"/>
    <x v="1"/>
    <x v="1"/>
    <x v="1"/>
  </r>
  <r>
    <x v="18"/>
    <x v="104"/>
    <x v="1"/>
    <x v="867"/>
    <x v="554"/>
    <x v="555"/>
  </r>
  <r>
    <x v="18"/>
    <x v="48"/>
    <x v="0"/>
    <x v="868"/>
    <x v="44"/>
    <x v="1"/>
  </r>
  <r>
    <x v="19"/>
    <x v="37"/>
    <x v="1"/>
    <x v="869"/>
    <x v="19"/>
    <x v="2"/>
  </r>
  <r>
    <x v="19"/>
    <x v="98"/>
    <x v="1"/>
    <x v="225"/>
    <x v="19"/>
    <x v="9"/>
  </r>
  <r>
    <x v="19"/>
    <x v="34"/>
    <x v="1"/>
    <x v="50"/>
    <x v="9"/>
    <x v="1"/>
  </r>
  <r>
    <x v="0"/>
    <x v="41"/>
    <x v="1"/>
    <x v="870"/>
    <x v="287"/>
    <x v="556"/>
  </r>
  <r>
    <x v="0"/>
    <x v="74"/>
    <x v="0"/>
    <x v="871"/>
    <x v="19"/>
    <x v="9"/>
  </r>
  <r>
    <x v="0"/>
    <x v="139"/>
    <x v="1"/>
    <x v="872"/>
    <x v="655"/>
    <x v="270"/>
  </r>
  <r>
    <x v="20"/>
    <x v="161"/>
    <x v="1"/>
    <x v="59"/>
    <x v="2"/>
    <x v="2"/>
  </r>
  <r>
    <x v="20"/>
    <x v="39"/>
    <x v="0"/>
    <x v="1"/>
    <x v="1"/>
    <x v="1"/>
  </r>
  <r>
    <x v="1"/>
    <x v="39"/>
    <x v="1"/>
    <x v="135"/>
    <x v="128"/>
    <x v="117"/>
  </r>
  <r>
    <x v="2"/>
    <x v="94"/>
    <x v="0"/>
    <x v="873"/>
    <x v="25"/>
    <x v="2"/>
  </r>
  <r>
    <x v="2"/>
    <x v="66"/>
    <x v="1"/>
    <x v="874"/>
    <x v="656"/>
    <x v="557"/>
  </r>
  <r>
    <x v="2"/>
    <x v="104"/>
    <x v="1"/>
    <x v="80"/>
    <x v="71"/>
    <x v="439"/>
  </r>
  <r>
    <x v="3"/>
    <x v="6"/>
    <x v="1"/>
    <x v="727"/>
    <x v="562"/>
    <x v="424"/>
  </r>
  <r>
    <x v="4"/>
    <x v="147"/>
    <x v="0"/>
    <x v="875"/>
    <x v="44"/>
    <x v="1"/>
  </r>
  <r>
    <x v="5"/>
    <x v="116"/>
    <x v="1"/>
    <x v="876"/>
    <x v="30"/>
    <x v="46"/>
  </r>
  <r>
    <x v="5"/>
    <x v="33"/>
    <x v="0"/>
    <x v="360"/>
    <x v="657"/>
    <x v="202"/>
  </r>
  <r>
    <x v="5"/>
    <x v="79"/>
    <x v="0"/>
    <x v="877"/>
    <x v="64"/>
    <x v="15"/>
  </r>
  <r>
    <x v="5"/>
    <x v="76"/>
    <x v="1"/>
    <x v="61"/>
    <x v="49"/>
    <x v="34"/>
  </r>
  <r>
    <x v="6"/>
    <x v="88"/>
    <x v="1"/>
    <x v="245"/>
    <x v="196"/>
    <x v="558"/>
  </r>
  <r>
    <x v="6"/>
    <x v="96"/>
    <x v="1"/>
    <x v="180"/>
    <x v="247"/>
    <x v="32"/>
  </r>
  <r>
    <x v="7"/>
    <x v="57"/>
    <x v="1"/>
    <x v="20"/>
    <x v="19"/>
    <x v="2"/>
  </r>
  <r>
    <x v="7"/>
    <x v="115"/>
    <x v="0"/>
    <x v="8"/>
    <x v="25"/>
    <x v="9"/>
  </r>
  <r>
    <x v="9"/>
    <x v="62"/>
    <x v="1"/>
    <x v="767"/>
    <x v="2"/>
    <x v="21"/>
  </r>
  <r>
    <x v="9"/>
    <x v="3"/>
    <x v="1"/>
    <x v="878"/>
    <x v="44"/>
    <x v="1"/>
  </r>
  <r>
    <x v="9"/>
    <x v="5"/>
    <x v="0"/>
    <x v="879"/>
    <x v="658"/>
    <x v="190"/>
  </r>
  <r>
    <x v="9"/>
    <x v="115"/>
    <x v="1"/>
    <x v="178"/>
    <x v="150"/>
    <x v="157"/>
  </r>
  <r>
    <x v="10"/>
    <x v="18"/>
    <x v="1"/>
    <x v="1"/>
    <x v="1"/>
    <x v="1"/>
  </r>
  <r>
    <x v="10"/>
    <x v="76"/>
    <x v="1"/>
    <x v="677"/>
    <x v="500"/>
    <x v="480"/>
  </r>
  <r>
    <x v="12"/>
    <x v="75"/>
    <x v="0"/>
    <x v="880"/>
    <x v="659"/>
    <x v="559"/>
  </r>
  <r>
    <x v="12"/>
    <x v="62"/>
    <x v="1"/>
    <x v="254"/>
    <x v="19"/>
    <x v="2"/>
  </r>
  <r>
    <x v="12"/>
    <x v="0"/>
    <x v="1"/>
    <x v="881"/>
    <x v="376"/>
    <x v="560"/>
  </r>
  <r>
    <x v="12"/>
    <x v="48"/>
    <x v="0"/>
    <x v="882"/>
    <x v="44"/>
    <x v="1"/>
  </r>
  <r>
    <x v="21"/>
    <x v="103"/>
    <x v="0"/>
    <x v="541"/>
    <x v="660"/>
    <x v="211"/>
  </r>
  <r>
    <x v="13"/>
    <x v="152"/>
    <x v="0"/>
    <x v="20"/>
    <x v="1"/>
    <x v="2"/>
  </r>
  <r>
    <x v="13"/>
    <x v="71"/>
    <x v="0"/>
    <x v="792"/>
    <x v="661"/>
    <x v="325"/>
  </r>
  <r>
    <x v="13"/>
    <x v="100"/>
    <x v="1"/>
    <x v="262"/>
    <x v="208"/>
    <x v="144"/>
  </r>
  <r>
    <x v="14"/>
    <x v="45"/>
    <x v="1"/>
    <x v="165"/>
    <x v="140"/>
    <x v="475"/>
  </r>
  <r>
    <x v="14"/>
    <x v="93"/>
    <x v="1"/>
    <x v="245"/>
    <x v="196"/>
    <x v="561"/>
  </r>
  <r>
    <x v="15"/>
    <x v="26"/>
    <x v="1"/>
    <x v="883"/>
    <x v="662"/>
    <x v="562"/>
  </r>
  <r>
    <x v="15"/>
    <x v="142"/>
    <x v="1"/>
    <x v="586"/>
    <x v="345"/>
    <x v="117"/>
  </r>
  <r>
    <x v="16"/>
    <x v="33"/>
    <x v="0"/>
    <x v="884"/>
    <x v="663"/>
    <x v="563"/>
  </r>
  <r>
    <x v="16"/>
    <x v="81"/>
    <x v="0"/>
    <x v="1"/>
    <x v="1"/>
    <x v="1"/>
  </r>
  <r>
    <x v="16"/>
    <x v="52"/>
    <x v="1"/>
    <x v="10"/>
    <x v="43"/>
    <x v="1"/>
  </r>
  <r>
    <x v="16"/>
    <x v="102"/>
    <x v="1"/>
    <x v="10"/>
    <x v="43"/>
    <x v="1"/>
  </r>
  <r>
    <x v="17"/>
    <x v="147"/>
    <x v="0"/>
    <x v="1"/>
    <x v="44"/>
    <x v="1"/>
  </r>
  <r>
    <x v="17"/>
    <x v="88"/>
    <x v="0"/>
    <x v="102"/>
    <x v="89"/>
    <x v="77"/>
  </r>
  <r>
    <x v="17"/>
    <x v="80"/>
    <x v="1"/>
    <x v="284"/>
    <x v="30"/>
    <x v="39"/>
  </r>
  <r>
    <x v="17"/>
    <x v="102"/>
    <x v="1"/>
    <x v="20"/>
    <x v="19"/>
    <x v="1"/>
  </r>
  <r>
    <x v="17"/>
    <x v="60"/>
    <x v="1"/>
    <x v="20"/>
    <x v="19"/>
    <x v="1"/>
  </r>
  <r>
    <x v="18"/>
    <x v="26"/>
    <x v="1"/>
    <x v="783"/>
    <x v="249"/>
    <x v="89"/>
  </r>
  <r>
    <x v="18"/>
    <x v="74"/>
    <x v="0"/>
    <x v="803"/>
    <x v="44"/>
    <x v="1"/>
  </r>
  <r>
    <x v="19"/>
    <x v="94"/>
    <x v="1"/>
    <x v="164"/>
    <x v="1"/>
    <x v="1"/>
  </r>
  <r>
    <x v="19"/>
    <x v="112"/>
    <x v="0"/>
    <x v="1"/>
    <x v="1"/>
    <x v="2"/>
  </r>
  <r>
    <x v="19"/>
    <x v="31"/>
    <x v="0"/>
    <x v="885"/>
    <x v="664"/>
    <x v="564"/>
  </r>
  <r>
    <x v="19"/>
    <x v="45"/>
    <x v="1"/>
    <x v="310"/>
    <x v="46"/>
    <x v="76"/>
  </r>
  <r>
    <x v="19"/>
    <x v="52"/>
    <x v="1"/>
    <x v="50"/>
    <x v="9"/>
    <x v="1"/>
  </r>
  <r>
    <x v="0"/>
    <x v="162"/>
    <x v="1"/>
    <x v="764"/>
    <x v="665"/>
    <x v="214"/>
  </r>
  <r>
    <x v="0"/>
    <x v="6"/>
    <x v="1"/>
    <x v="472"/>
    <x v="366"/>
    <x v="565"/>
  </r>
  <r>
    <x v="0"/>
    <x v="38"/>
    <x v="1"/>
    <x v="38"/>
    <x v="38"/>
    <x v="45"/>
  </r>
  <r>
    <x v="20"/>
    <x v="55"/>
    <x v="1"/>
    <x v="373"/>
    <x v="36"/>
    <x v="127"/>
  </r>
  <r>
    <x v="20"/>
    <x v="7"/>
    <x v="1"/>
    <x v="46"/>
    <x v="123"/>
    <x v="220"/>
  </r>
  <r>
    <x v="20"/>
    <x v="104"/>
    <x v="1"/>
    <x v="686"/>
    <x v="666"/>
    <x v="237"/>
  </r>
  <r>
    <x v="1"/>
    <x v="97"/>
    <x v="0"/>
    <x v="886"/>
    <x v="667"/>
    <x v="248"/>
  </r>
  <r>
    <x v="2"/>
    <x v="148"/>
    <x v="1"/>
    <x v="887"/>
    <x v="668"/>
    <x v="482"/>
  </r>
  <r>
    <x v="2"/>
    <x v="50"/>
    <x v="1"/>
    <x v="888"/>
    <x v="669"/>
    <x v="292"/>
  </r>
  <r>
    <x v="4"/>
    <x v="76"/>
    <x v="0"/>
    <x v="1"/>
    <x v="1"/>
    <x v="1"/>
  </r>
  <r>
    <x v="5"/>
    <x v="5"/>
    <x v="1"/>
    <x v="889"/>
    <x v="670"/>
    <x v="566"/>
  </r>
  <r>
    <x v="6"/>
    <x v="37"/>
    <x v="1"/>
    <x v="890"/>
    <x v="25"/>
    <x v="1"/>
  </r>
  <r>
    <x v="6"/>
    <x v="135"/>
    <x v="0"/>
    <x v="386"/>
    <x v="297"/>
    <x v="344"/>
  </r>
  <r>
    <x v="6"/>
    <x v="36"/>
    <x v="1"/>
    <x v="20"/>
    <x v="19"/>
    <x v="9"/>
  </r>
  <r>
    <x v="7"/>
    <x v="94"/>
    <x v="0"/>
    <x v="891"/>
    <x v="1"/>
    <x v="1"/>
  </r>
  <r>
    <x v="7"/>
    <x v="77"/>
    <x v="1"/>
    <x v="892"/>
    <x v="671"/>
    <x v="567"/>
  </r>
  <r>
    <x v="7"/>
    <x v="50"/>
    <x v="1"/>
    <x v="61"/>
    <x v="166"/>
    <x v="40"/>
  </r>
  <r>
    <x v="7"/>
    <x v="96"/>
    <x v="1"/>
    <x v="246"/>
    <x v="52"/>
    <x v="454"/>
  </r>
  <r>
    <x v="8"/>
    <x v="37"/>
    <x v="1"/>
    <x v="74"/>
    <x v="9"/>
    <x v="9"/>
  </r>
  <r>
    <x v="8"/>
    <x v="116"/>
    <x v="1"/>
    <x v="893"/>
    <x v="9"/>
    <x v="21"/>
  </r>
  <r>
    <x v="8"/>
    <x v="88"/>
    <x v="0"/>
    <x v="894"/>
    <x v="672"/>
    <x v="192"/>
  </r>
  <r>
    <x v="8"/>
    <x v="95"/>
    <x v="1"/>
    <x v="815"/>
    <x v="621"/>
    <x v="555"/>
  </r>
  <r>
    <x v="8"/>
    <x v="100"/>
    <x v="1"/>
    <x v="59"/>
    <x v="37"/>
    <x v="46"/>
  </r>
  <r>
    <x v="9"/>
    <x v="92"/>
    <x v="1"/>
    <x v="17"/>
    <x v="16"/>
    <x v="42"/>
  </r>
  <r>
    <x v="9"/>
    <x v="79"/>
    <x v="1"/>
    <x v="1"/>
    <x v="44"/>
    <x v="1"/>
  </r>
  <r>
    <x v="9"/>
    <x v="22"/>
    <x v="1"/>
    <x v="25"/>
    <x v="93"/>
    <x v="144"/>
  </r>
  <r>
    <x v="10"/>
    <x v="3"/>
    <x v="1"/>
    <x v="895"/>
    <x v="25"/>
    <x v="2"/>
  </r>
  <r>
    <x v="10"/>
    <x v="65"/>
    <x v="0"/>
    <x v="1"/>
    <x v="1"/>
    <x v="2"/>
  </r>
  <r>
    <x v="10"/>
    <x v="119"/>
    <x v="1"/>
    <x v="1"/>
    <x v="1"/>
    <x v="1"/>
  </r>
  <r>
    <x v="11"/>
    <x v="32"/>
    <x v="1"/>
    <x v="356"/>
    <x v="633"/>
    <x v="172"/>
  </r>
  <r>
    <x v="12"/>
    <x v="36"/>
    <x v="1"/>
    <x v="59"/>
    <x v="37"/>
    <x v="1"/>
  </r>
  <r>
    <x v="12"/>
    <x v="136"/>
    <x v="1"/>
    <x v="164"/>
    <x v="128"/>
    <x v="1"/>
  </r>
  <r>
    <x v="12"/>
    <x v="14"/>
    <x v="0"/>
    <x v="896"/>
    <x v="673"/>
    <x v="568"/>
  </r>
  <r>
    <x v="21"/>
    <x v="128"/>
    <x v="1"/>
    <x v="1"/>
    <x v="1"/>
    <x v="1"/>
  </r>
  <r>
    <x v="13"/>
    <x v="101"/>
    <x v="0"/>
    <x v="1"/>
    <x v="1"/>
    <x v="2"/>
  </r>
  <r>
    <x v="13"/>
    <x v="48"/>
    <x v="1"/>
    <x v="897"/>
    <x v="44"/>
    <x v="1"/>
  </r>
  <r>
    <x v="14"/>
    <x v="80"/>
    <x v="1"/>
    <x v="898"/>
    <x v="674"/>
    <x v="155"/>
  </r>
  <r>
    <x v="15"/>
    <x v="45"/>
    <x v="1"/>
    <x v="313"/>
    <x v="241"/>
    <x v="10"/>
  </r>
  <r>
    <x v="15"/>
    <x v="98"/>
    <x v="0"/>
    <x v="899"/>
    <x v="1"/>
    <x v="2"/>
  </r>
  <r>
    <x v="17"/>
    <x v="62"/>
    <x v="0"/>
    <x v="1"/>
    <x v="44"/>
    <x v="1"/>
  </r>
  <r>
    <x v="17"/>
    <x v="57"/>
    <x v="1"/>
    <x v="900"/>
    <x v="675"/>
    <x v="569"/>
  </r>
  <r>
    <x v="17"/>
    <x v="1"/>
    <x v="1"/>
    <x v="20"/>
    <x v="19"/>
    <x v="1"/>
  </r>
  <r>
    <x v="18"/>
    <x v="101"/>
    <x v="0"/>
    <x v="901"/>
    <x v="676"/>
    <x v="447"/>
  </r>
  <r>
    <x v="19"/>
    <x v="62"/>
    <x v="1"/>
    <x v="902"/>
    <x v="19"/>
    <x v="2"/>
  </r>
  <r>
    <x v="19"/>
    <x v="160"/>
    <x v="1"/>
    <x v="73"/>
    <x v="16"/>
    <x v="227"/>
  </r>
  <r>
    <x v="0"/>
    <x v="104"/>
    <x v="1"/>
    <x v="903"/>
    <x v="677"/>
    <x v="296"/>
  </r>
  <r>
    <x v="20"/>
    <x v="65"/>
    <x v="0"/>
    <x v="904"/>
    <x v="678"/>
    <x v="68"/>
  </r>
  <r>
    <x v="1"/>
    <x v="94"/>
    <x v="0"/>
    <x v="756"/>
    <x v="2"/>
    <x v="9"/>
  </r>
  <r>
    <x v="1"/>
    <x v="5"/>
    <x v="0"/>
    <x v="905"/>
    <x v="679"/>
    <x v="570"/>
  </r>
  <r>
    <x v="1"/>
    <x v="76"/>
    <x v="0"/>
    <x v="906"/>
    <x v="680"/>
    <x v="62"/>
  </r>
  <r>
    <x v="1"/>
    <x v="22"/>
    <x v="1"/>
    <x v="24"/>
    <x v="23"/>
    <x v="91"/>
  </r>
  <r>
    <x v="2"/>
    <x v="45"/>
    <x v="1"/>
    <x v="742"/>
    <x v="505"/>
    <x v="296"/>
  </r>
  <r>
    <x v="2"/>
    <x v="164"/>
    <x v="1"/>
    <x v="180"/>
    <x v="53"/>
    <x v="9"/>
  </r>
  <r>
    <x v="3"/>
    <x v="11"/>
    <x v="1"/>
    <x v="135"/>
    <x v="43"/>
    <x v="39"/>
  </r>
  <r>
    <x v="3"/>
    <x v="96"/>
    <x v="1"/>
    <x v="9"/>
    <x v="551"/>
    <x v="10"/>
  </r>
  <r>
    <x v="3"/>
    <x v="158"/>
    <x v="0"/>
    <x v="907"/>
    <x v="44"/>
    <x v="1"/>
  </r>
  <r>
    <x v="4"/>
    <x v="11"/>
    <x v="1"/>
    <x v="164"/>
    <x v="242"/>
    <x v="39"/>
  </r>
  <r>
    <x v="4"/>
    <x v="65"/>
    <x v="1"/>
    <x v="58"/>
    <x v="681"/>
    <x v="248"/>
  </r>
  <r>
    <x v="4"/>
    <x v="6"/>
    <x v="1"/>
    <x v="908"/>
    <x v="682"/>
    <x v="571"/>
  </r>
  <r>
    <x v="6"/>
    <x v="33"/>
    <x v="1"/>
    <x v="909"/>
    <x v="444"/>
    <x v="572"/>
  </r>
  <r>
    <x v="7"/>
    <x v="8"/>
    <x v="1"/>
    <x v="910"/>
    <x v="422"/>
    <x v="151"/>
  </r>
  <r>
    <x v="7"/>
    <x v="33"/>
    <x v="1"/>
    <x v="671"/>
    <x v="427"/>
    <x v="141"/>
  </r>
  <r>
    <x v="8"/>
    <x v="65"/>
    <x v="0"/>
    <x v="911"/>
    <x v="273"/>
    <x v="37"/>
  </r>
  <r>
    <x v="8"/>
    <x v="69"/>
    <x v="1"/>
    <x v="652"/>
    <x v="683"/>
    <x v="315"/>
  </r>
  <r>
    <x v="9"/>
    <x v="26"/>
    <x v="1"/>
    <x v="273"/>
    <x v="684"/>
    <x v="355"/>
  </r>
  <r>
    <x v="9"/>
    <x v="8"/>
    <x v="1"/>
    <x v="912"/>
    <x v="685"/>
    <x v="573"/>
  </r>
  <r>
    <x v="10"/>
    <x v="8"/>
    <x v="1"/>
    <x v="662"/>
    <x v="517"/>
    <x v="574"/>
  </r>
  <r>
    <x v="10"/>
    <x v="109"/>
    <x v="0"/>
    <x v="1"/>
    <x v="44"/>
    <x v="1"/>
  </r>
  <r>
    <x v="11"/>
    <x v="128"/>
    <x v="0"/>
    <x v="1"/>
    <x v="1"/>
    <x v="2"/>
  </r>
  <r>
    <x v="11"/>
    <x v="71"/>
    <x v="0"/>
    <x v="913"/>
    <x v="686"/>
    <x v="243"/>
  </r>
  <r>
    <x v="11"/>
    <x v="103"/>
    <x v="0"/>
    <x v="914"/>
    <x v="301"/>
    <x v="162"/>
  </r>
  <r>
    <x v="12"/>
    <x v="111"/>
    <x v="1"/>
    <x v="20"/>
    <x v="19"/>
    <x v="2"/>
  </r>
  <r>
    <x v="12"/>
    <x v="61"/>
    <x v="0"/>
    <x v="915"/>
    <x v="687"/>
    <x v="551"/>
  </r>
  <r>
    <x v="12"/>
    <x v="47"/>
    <x v="1"/>
    <x v="301"/>
    <x v="688"/>
    <x v="573"/>
  </r>
  <r>
    <x v="21"/>
    <x v="43"/>
    <x v="0"/>
    <x v="846"/>
    <x v="689"/>
    <x v="575"/>
  </r>
  <r>
    <x v="21"/>
    <x v="152"/>
    <x v="0"/>
    <x v="916"/>
    <x v="690"/>
    <x v="340"/>
  </r>
  <r>
    <x v="13"/>
    <x v="116"/>
    <x v="1"/>
    <x v="917"/>
    <x v="14"/>
    <x v="30"/>
  </r>
  <r>
    <x v="13"/>
    <x v="151"/>
    <x v="1"/>
    <x v="552"/>
    <x v="616"/>
    <x v="220"/>
  </r>
  <r>
    <x v="13"/>
    <x v="118"/>
    <x v="1"/>
    <x v="497"/>
    <x v="388"/>
    <x v="576"/>
  </r>
  <r>
    <x v="14"/>
    <x v="26"/>
    <x v="0"/>
    <x v="918"/>
    <x v="56"/>
    <x v="182"/>
  </r>
  <r>
    <x v="14"/>
    <x v="0"/>
    <x v="0"/>
    <x v="919"/>
    <x v="691"/>
    <x v="499"/>
  </r>
  <r>
    <x v="14"/>
    <x v="27"/>
    <x v="1"/>
    <x v="6"/>
    <x v="6"/>
    <x v="127"/>
  </r>
  <r>
    <x v="14"/>
    <x v="81"/>
    <x v="1"/>
    <x v="130"/>
    <x v="115"/>
    <x v="237"/>
  </r>
  <r>
    <x v="15"/>
    <x v="28"/>
    <x v="1"/>
    <x v="920"/>
    <x v="168"/>
    <x v="360"/>
  </r>
  <r>
    <x v="15"/>
    <x v="115"/>
    <x v="1"/>
    <x v="570"/>
    <x v="468"/>
    <x v="577"/>
  </r>
  <r>
    <x v="15"/>
    <x v="99"/>
    <x v="0"/>
    <x v="200"/>
    <x v="44"/>
    <x v="1"/>
  </r>
  <r>
    <x v="15"/>
    <x v="14"/>
    <x v="0"/>
    <x v="921"/>
    <x v="692"/>
    <x v="180"/>
  </r>
  <r>
    <x v="16"/>
    <x v="147"/>
    <x v="0"/>
    <x v="922"/>
    <x v="44"/>
    <x v="1"/>
  </r>
  <r>
    <x v="16"/>
    <x v="92"/>
    <x v="1"/>
    <x v="38"/>
    <x v="38"/>
    <x v="32"/>
  </r>
  <r>
    <x v="16"/>
    <x v="78"/>
    <x v="1"/>
    <x v="55"/>
    <x v="197"/>
    <x v="21"/>
  </r>
  <r>
    <x v="16"/>
    <x v="120"/>
    <x v="1"/>
    <x v="923"/>
    <x v="693"/>
    <x v="578"/>
  </r>
  <r>
    <x v="18"/>
    <x v="160"/>
    <x v="0"/>
    <x v="859"/>
    <x v="694"/>
    <x v="131"/>
  </r>
  <r>
    <x v="18"/>
    <x v="76"/>
    <x v="1"/>
    <x v="381"/>
    <x v="298"/>
    <x v="266"/>
  </r>
  <r>
    <x v="19"/>
    <x v="90"/>
    <x v="1"/>
    <x v="50"/>
    <x v="9"/>
    <x v="1"/>
  </r>
  <r>
    <x v="19"/>
    <x v="160"/>
    <x v="0"/>
    <x v="122"/>
    <x v="307"/>
    <x v="249"/>
  </r>
  <r>
    <x v="0"/>
    <x v="13"/>
    <x v="0"/>
    <x v="104"/>
    <x v="242"/>
    <x v="14"/>
  </r>
  <r>
    <x v="20"/>
    <x v="64"/>
    <x v="1"/>
    <x v="813"/>
    <x v="619"/>
    <x v="577"/>
  </r>
  <r>
    <x v="20"/>
    <x v="93"/>
    <x v="0"/>
    <x v="924"/>
    <x v="695"/>
    <x v="579"/>
  </r>
  <r>
    <x v="1"/>
    <x v="46"/>
    <x v="1"/>
    <x v="925"/>
    <x v="696"/>
    <x v="580"/>
  </r>
  <r>
    <x v="1"/>
    <x v="48"/>
    <x v="1"/>
    <x v="926"/>
    <x v="44"/>
    <x v="1"/>
  </r>
  <r>
    <x v="2"/>
    <x v="12"/>
    <x v="0"/>
    <x v="219"/>
    <x v="73"/>
    <x v="347"/>
  </r>
  <r>
    <x v="2"/>
    <x v="4"/>
    <x v="1"/>
    <x v="927"/>
    <x v="697"/>
    <x v="581"/>
  </r>
  <r>
    <x v="2"/>
    <x v="76"/>
    <x v="0"/>
    <x v="197"/>
    <x v="698"/>
    <x v="581"/>
  </r>
  <r>
    <x v="3"/>
    <x v="20"/>
    <x v="1"/>
    <x v="77"/>
    <x v="226"/>
    <x v="273"/>
  </r>
  <r>
    <x v="3"/>
    <x v="7"/>
    <x v="1"/>
    <x v="150"/>
    <x v="699"/>
    <x v="238"/>
  </r>
  <r>
    <x v="4"/>
    <x v="49"/>
    <x v="1"/>
    <x v="23"/>
    <x v="82"/>
    <x v="64"/>
  </r>
  <r>
    <x v="4"/>
    <x v="85"/>
    <x v="1"/>
    <x v="596"/>
    <x v="700"/>
    <x v="159"/>
  </r>
  <r>
    <x v="4"/>
    <x v="40"/>
    <x v="0"/>
    <x v="8"/>
    <x v="25"/>
    <x v="21"/>
  </r>
  <r>
    <x v="5"/>
    <x v="104"/>
    <x v="1"/>
    <x v="928"/>
    <x v="701"/>
    <x v="120"/>
  </r>
  <r>
    <x v="6"/>
    <x v="5"/>
    <x v="1"/>
    <x v="929"/>
    <x v="702"/>
    <x v="582"/>
  </r>
  <r>
    <x v="6"/>
    <x v="134"/>
    <x v="1"/>
    <x v="293"/>
    <x v="99"/>
    <x v="347"/>
  </r>
  <r>
    <x v="7"/>
    <x v="19"/>
    <x v="1"/>
    <x v="1"/>
    <x v="1"/>
    <x v="2"/>
  </r>
  <r>
    <x v="8"/>
    <x v="69"/>
    <x v="0"/>
    <x v="642"/>
    <x v="151"/>
    <x v="243"/>
  </r>
  <r>
    <x v="8"/>
    <x v="71"/>
    <x v="0"/>
    <x v="930"/>
    <x v="703"/>
    <x v="583"/>
  </r>
  <r>
    <x v="9"/>
    <x v="45"/>
    <x v="1"/>
    <x v="666"/>
    <x v="345"/>
    <x v="186"/>
  </r>
  <r>
    <x v="9"/>
    <x v="67"/>
    <x v="1"/>
    <x v="931"/>
    <x v="704"/>
    <x v="121"/>
  </r>
  <r>
    <x v="9"/>
    <x v="98"/>
    <x v="1"/>
    <x v="932"/>
    <x v="37"/>
    <x v="46"/>
  </r>
  <r>
    <x v="10"/>
    <x v="105"/>
    <x v="1"/>
    <x v="1"/>
    <x v="1"/>
    <x v="1"/>
  </r>
  <r>
    <x v="11"/>
    <x v="87"/>
    <x v="1"/>
    <x v="416"/>
    <x v="324"/>
    <x v="312"/>
  </r>
  <r>
    <x v="11"/>
    <x v="53"/>
    <x v="1"/>
    <x v="8"/>
    <x v="25"/>
    <x v="1"/>
  </r>
  <r>
    <x v="12"/>
    <x v="5"/>
    <x v="0"/>
    <x v="82"/>
    <x v="73"/>
    <x v="220"/>
  </r>
  <r>
    <x v="12"/>
    <x v="115"/>
    <x v="1"/>
    <x v="933"/>
    <x v="705"/>
    <x v="24"/>
  </r>
  <r>
    <x v="12"/>
    <x v="34"/>
    <x v="1"/>
    <x v="59"/>
    <x v="37"/>
    <x v="1"/>
  </r>
  <r>
    <x v="21"/>
    <x v="37"/>
    <x v="1"/>
    <x v="934"/>
    <x v="37"/>
    <x v="39"/>
  </r>
  <r>
    <x v="21"/>
    <x v="3"/>
    <x v="1"/>
    <x v="935"/>
    <x v="19"/>
    <x v="1"/>
  </r>
  <r>
    <x v="13"/>
    <x v="94"/>
    <x v="1"/>
    <x v="936"/>
    <x v="19"/>
    <x v="9"/>
  </r>
  <r>
    <x v="13"/>
    <x v="96"/>
    <x v="1"/>
    <x v="198"/>
    <x v="166"/>
    <x v="454"/>
  </r>
  <r>
    <x v="14"/>
    <x v="62"/>
    <x v="0"/>
    <x v="558"/>
    <x v="1"/>
    <x v="1"/>
  </r>
  <r>
    <x v="14"/>
    <x v="112"/>
    <x v="0"/>
    <x v="937"/>
    <x v="706"/>
    <x v="358"/>
  </r>
  <r>
    <x v="14"/>
    <x v="30"/>
    <x v="0"/>
    <x v="938"/>
    <x v="707"/>
    <x v="584"/>
  </r>
  <r>
    <x v="14"/>
    <x v="36"/>
    <x v="1"/>
    <x v="1"/>
    <x v="1"/>
    <x v="1"/>
  </r>
  <r>
    <x v="14"/>
    <x v="159"/>
    <x v="0"/>
    <x v="939"/>
    <x v="43"/>
    <x v="117"/>
  </r>
  <r>
    <x v="14"/>
    <x v="98"/>
    <x v="0"/>
    <x v="863"/>
    <x v="43"/>
    <x v="2"/>
  </r>
  <r>
    <x v="14"/>
    <x v="53"/>
    <x v="1"/>
    <x v="20"/>
    <x v="19"/>
    <x v="1"/>
  </r>
  <r>
    <x v="15"/>
    <x v="101"/>
    <x v="0"/>
    <x v="940"/>
    <x v="708"/>
    <x v="585"/>
  </r>
  <r>
    <x v="15"/>
    <x v="91"/>
    <x v="0"/>
    <x v="507"/>
    <x v="605"/>
    <x v="586"/>
  </r>
  <r>
    <x v="16"/>
    <x v="69"/>
    <x v="1"/>
    <x v="542"/>
    <x v="709"/>
    <x v="587"/>
  </r>
  <r>
    <x v="16"/>
    <x v="55"/>
    <x v="1"/>
    <x v="504"/>
    <x v="289"/>
    <x v="127"/>
  </r>
  <r>
    <x v="16"/>
    <x v="68"/>
    <x v="1"/>
    <x v="941"/>
    <x v="710"/>
    <x v="588"/>
  </r>
  <r>
    <x v="16"/>
    <x v="130"/>
    <x v="1"/>
    <x v="284"/>
    <x v="30"/>
    <x v="1"/>
  </r>
  <r>
    <x v="17"/>
    <x v="26"/>
    <x v="1"/>
    <x v="942"/>
    <x v="342"/>
    <x v="330"/>
  </r>
  <r>
    <x v="17"/>
    <x v="87"/>
    <x v="1"/>
    <x v="39"/>
    <x v="246"/>
    <x v="488"/>
  </r>
  <r>
    <x v="19"/>
    <x v="94"/>
    <x v="0"/>
    <x v="284"/>
    <x v="44"/>
    <x v="1"/>
  </r>
  <r>
    <x v="19"/>
    <x v="24"/>
    <x v="1"/>
    <x v="50"/>
    <x v="9"/>
    <x v="1"/>
  </r>
  <r>
    <x v="19"/>
    <x v="83"/>
    <x v="0"/>
    <x v="943"/>
    <x v="711"/>
    <x v="395"/>
  </r>
  <r>
    <x v="0"/>
    <x v="37"/>
    <x v="0"/>
    <x v="15"/>
    <x v="44"/>
    <x v="1"/>
  </r>
  <r>
    <x v="20"/>
    <x v="13"/>
    <x v="1"/>
    <x v="1"/>
    <x v="44"/>
    <x v="1"/>
  </r>
  <r>
    <x v="1"/>
    <x v="59"/>
    <x v="1"/>
    <x v="284"/>
    <x v="9"/>
    <x v="9"/>
  </r>
  <r>
    <x v="1"/>
    <x v="109"/>
    <x v="0"/>
    <x v="944"/>
    <x v="712"/>
    <x v="589"/>
  </r>
  <r>
    <x v="1"/>
    <x v="161"/>
    <x v="1"/>
    <x v="164"/>
    <x v="43"/>
    <x v="2"/>
  </r>
  <r>
    <x v="1"/>
    <x v="76"/>
    <x v="1"/>
    <x v="376"/>
    <x v="713"/>
    <x v="590"/>
  </r>
  <r>
    <x v="2"/>
    <x v="33"/>
    <x v="1"/>
    <x v="945"/>
    <x v="714"/>
    <x v="591"/>
  </r>
  <r>
    <x v="2"/>
    <x v="134"/>
    <x v="1"/>
    <x v="223"/>
    <x v="715"/>
    <x v="592"/>
  </r>
  <r>
    <x v="2"/>
    <x v="48"/>
    <x v="0"/>
    <x v="946"/>
    <x v="44"/>
    <x v="1"/>
  </r>
  <r>
    <x v="3"/>
    <x v="55"/>
    <x v="1"/>
    <x v="38"/>
    <x v="163"/>
    <x v="14"/>
  </r>
  <r>
    <x v="3"/>
    <x v="165"/>
    <x v="1"/>
    <x v="269"/>
    <x v="10"/>
    <x v="249"/>
  </r>
  <r>
    <x v="3"/>
    <x v="158"/>
    <x v="1"/>
    <x v="947"/>
    <x v="44"/>
    <x v="1"/>
  </r>
  <r>
    <x v="4"/>
    <x v="97"/>
    <x v="0"/>
    <x v="948"/>
    <x v="716"/>
    <x v="593"/>
  </r>
  <r>
    <x v="6"/>
    <x v="3"/>
    <x v="0"/>
    <x v="949"/>
    <x v="1"/>
    <x v="1"/>
  </r>
  <r>
    <x v="7"/>
    <x v="37"/>
    <x v="0"/>
    <x v="950"/>
    <x v="2"/>
    <x v="2"/>
  </r>
  <r>
    <x v="7"/>
    <x v="8"/>
    <x v="0"/>
    <x v="951"/>
    <x v="717"/>
    <x v="266"/>
  </r>
  <r>
    <x v="8"/>
    <x v="113"/>
    <x v="1"/>
    <x v="1"/>
    <x v="1"/>
    <x v="1"/>
  </r>
  <r>
    <x v="8"/>
    <x v="17"/>
    <x v="1"/>
    <x v="93"/>
    <x v="2"/>
    <x v="21"/>
  </r>
  <r>
    <x v="8"/>
    <x v="159"/>
    <x v="1"/>
    <x v="226"/>
    <x v="44"/>
    <x v="1"/>
  </r>
  <r>
    <x v="9"/>
    <x v="140"/>
    <x v="1"/>
    <x v="952"/>
    <x v="718"/>
    <x v="229"/>
  </r>
  <r>
    <x v="9"/>
    <x v="78"/>
    <x v="1"/>
    <x v="8"/>
    <x v="25"/>
    <x v="1"/>
  </r>
  <r>
    <x v="10"/>
    <x v="8"/>
    <x v="0"/>
    <x v="953"/>
    <x v="719"/>
    <x v="378"/>
  </r>
  <r>
    <x v="11"/>
    <x v="18"/>
    <x v="1"/>
    <x v="8"/>
    <x v="25"/>
    <x v="1"/>
  </r>
  <r>
    <x v="11"/>
    <x v="130"/>
    <x v="1"/>
    <x v="8"/>
    <x v="25"/>
    <x v="1"/>
  </r>
  <r>
    <x v="11"/>
    <x v="104"/>
    <x v="1"/>
    <x v="954"/>
    <x v="720"/>
    <x v="594"/>
  </r>
  <r>
    <x v="12"/>
    <x v="116"/>
    <x v="1"/>
    <x v="955"/>
    <x v="1"/>
    <x v="2"/>
  </r>
  <r>
    <x v="12"/>
    <x v="54"/>
    <x v="1"/>
    <x v="59"/>
    <x v="37"/>
    <x v="1"/>
  </r>
  <r>
    <x v="12"/>
    <x v="57"/>
    <x v="1"/>
    <x v="956"/>
    <x v="721"/>
    <x v="595"/>
  </r>
  <r>
    <x v="12"/>
    <x v="40"/>
    <x v="1"/>
    <x v="957"/>
    <x v="722"/>
    <x v="443"/>
  </r>
  <r>
    <x v="21"/>
    <x v="101"/>
    <x v="1"/>
    <x v="406"/>
    <x v="170"/>
    <x v="227"/>
  </r>
  <r>
    <x v="13"/>
    <x v="62"/>
    <x v="0"/>
    <x v="953"/>
    <x v="44"/>
    <x v="1"/>
  </r>
  <r>
    <x v="13"/>
    <x v="27"/>
    <x v="1"/>
    <x v="958"/>
    <x v="662"/>
    <x v="208"/>
  </r>
  <r>
    <x v="13"/>
    <x v="28"/>
    <x v="1"/>
    <x v="959"/>
    <x v="287"/>
    <x v="73"/>
  </r>
  <r>
    <x v="13"/>
    <x v="98"/>
    <x v="0"/>
    <x v="337"/>
    <x v="37"/>
    <x v="1"/>
  </r>
  <r>
    <x v="13"/>
    <x v="53"/>
    <x v="1"/>
    <x v="1"/>
    <x v="1"/>
    <x v="1"/>
  </r>
  <r>
    <x v="13"/>
    <x v="76"/>
    <x v="0"/>
    <x v="1"/>
    <x v="1"/>
    <x v="2"/>
  </r>
  <r>
    <x v="13"/>
    <x v="40"/>
    <x v="1"/>
    <x v="960"/>
    <x v="723"/>
    <x v="596"/>
  </r>
  <r>
    <x v="15"/>
    <x v="116"/>
    <x v="1"/>
    <x v="961"/>
    <x v="19"/>
    <x v="9"/>
  </r>
  <r>
    <x v="15"/>
    <x v="8"/>
    <x v="0"/>
    <x v="962"/>
    <x v="724"/>
    <x v="597"/>
  </r>
  <r>
    <x v="15"/>
    <x v="30"/>
    <x v="1"/>
    <x v="34"/>
    <x v="223"/>
    <x v="361"/>
  </r>
  <r>
    <x v="15"/>
    <x v="99"/>
    <x v="1"/>
    <x v="246"/>
    <x v="44"/>
    <x v="1"/>
  </r>
  <r>
    <x v="15"/>
    <x v="74"/>
    <x v="0"/>
    <x v="474"/>
    <x v="19"/>
    <x v="2"/>
  </r>
  <r>
    <x v="16"/>
    <x v="26"/>
    <x v="0"/>
    <x v="93"/>
    <x v="19"/>
    <x v="2"/>
  </r>
  <r>
    <x v="16"/>
    <x v="142"/>
    <x v="1"/>
    <x v="963"/>
    <x v="725"/>
    <x v="598"/>
  </r>
  <r>
    <x v="16"/>
    <x v="101"/>
    <x v="0"/>
    <x v="964"/>
    <x v="726"/>
    <x v="599"/>
  </r>
  <r>
    <x v="18"/>
    <x v="116"/>
    <x v="1"/>
    <x v="965"/>
    <x v="37"/>
    <x v="21"/>
  </r>
  <r>
    <x v="18"/>
    <x v="98"/>
    <x v="1"/>
    <x v="851"/>
    <x v="44"/>
    <x v="1"/>
  </r>
  <r>
    <x v="18"/>
    <x v="47"/>
    <x v="1"/>
    <x v="966"/>
    <x v="727"/>
    <x v="600"/>
  </r>
  <r>
    <x v="19"/>
    <x v="5"/>
    <x v="1"/>
    <x v="68"/>
    <x v="62"/>
    <x v="35"/>
  </r>
  <r>
    <x v="0"/>
    <x v="23"/>
    <x v="0"/>
    <x v="1"/>
    <x v="1"/>
    <x v="2"/>
  </r>
  <r>
    <x v="0"/>
    <x v="20"/>
    <x v="1"/>
    <x v="153"/>
    <x v="133"/>
    <x v="415"/>
  </r>
  <r>
    <x v="0"/>
    <x v="164"/>
    <x v="1"/>
    <x v="30"/>
    <x v="43"/>
    <x v="9"/>
  </r>
  <r>
    <x v="20"/>
    <x v="46"/>
    <x v="1"/>
    <x v="613"/>
    <x v="173"/>
    <x v="601"/>
  </r>
  <r>
    <x v="1"/>
    <x v="37"/>
    <x v="1"/>
    <x v="967"/>
    <x v="2"/>
    <x v="21"/>
  </r>
  <r>
    <x v="1"/>
    <x v="7"/>
    <x v="0"/>
    <x v="20"/>
    <x v="19"/>
    <x v="9"/>
  </r>
  <r>
    <x v="2"/>
    <x v="96"/>
    <x v="0"/>
    <x v="198"/>
    <x v="166"/>
    <x v="127"/>
  </r>
  <r>
    <x v="3"/>
    <x v="33"/>
    <x v="0"/>
    <x v="968"/>
    <x v="728"/>
    <x v="602"/>
  </r>
  <r>
    <x v="3"/>
    <x v="59"/>
    <x v="1"/>
    <x v="59"/>
    <x v="2"/>
    <x v="2"/>
  </r>
  <r>
    <x v="3"/>
    <x v="132"/>
    <x v="1"/>
    <x v="319"/>
    <x v="130"/>
    <x v="40"/>
  </r>
  <r>
    <x v="4"/>
    <x v="115"/>
    <x v="1"/>
    <x v="607"/>
    <x v="473"/>
    <x v="112"/>
  </r>
  <r>
    <x v="5"/>
    <x v="19"/>
    <x v="1"/>
    <x v="25"/>
    <x v="93"/>
    <x v="33"/>
  </r>
  <r>
    <x v="5"/>
    <x v="69"/>
    <x v="1"/>
    <x v="150"/>
    <x v="699"/>
    <x v="437"/>
  </r>
  <r>
    <x v="5"/>
    <x v="68"/>
    <x v="1"/>
    <x v="541"/>
    <x v="426"/>
    <x v="71"/>
  </r>
  <r>
    <x v="5"/>
    <x v="96"/>
    <x v="1"/>
    <x v="82"/>
    <x v="73"/>
    <x v="121"/>
  </r>
  <r>
    <x v="5"/>
    <x v="86"/>
    <x v="1"/>
    <x v="811"/>
    <x v="617"/>
    <x v="603"/>
  </r>
  <r>
    <x v="7"/>
    <x v="62"/>
    <x v="1"/>
    <x v="969"/>
    <x v="43"/>
    <x v="39"/>
  </r>
  <r>
    <x v="7"/>
    <x v="113"/>
    <x v="1"/>
    <x v="20"/>
    <x v="1"/>
    <x v="1"/>
  </r>
  <r>
    <x v="7"/>
    <x v="12"/>
    <x v="0"/>
    <x v="970"/>
    <x v="487"/>
    <x v="57"/>
  </r>
  <r>
    <x v="7"/>
    <x v="12"/>
    <x v="1"/>
    <x v="646"/>
    <x v="729"/>
    <x v="604"/>
  </r>
  <r>
    <x v="7"/>
    <x v="55"/>
    <x v="1"/>
    <x v="38"/>
    <x v="49"/>
    <x v="14"/>
  </r>
  <r>
    <x v="7"/>
    <x v="88"/>
    <x v="0"/>
    <x v="971"/>
    <x v="730"/>
    <x v="370"/>
  </r>
  <r>
    <x v="7"/>
    <x v="68"/>
    <x v="1"/>
    <x v="412"/>
    <x v="320"/>
    <x v="254"/>
  </r>
  <r>
    <x v="8"/>
    <x v="96"/>
    <x v="1"/>
    <x v="394"/>
    <x v="309"/>
    <x v="76"/>
  </r>
  <r>
    <x v="9"/>
    <x v="26"/>
    <x v="0"/>
    <x v="972"/>
    <x v="731"/>
    <x v="605"/>
  </r>
  <r>
    <x v="10"/>
    <x v="0"/>
    <x v="1"/>
    <x v="973"/>
    <x v="732"/>
    <x v="606"/>
  </r>
  <r>
    <x v="10"/>
    <x v="93"/>
    <x v="0"/>
    <x v="1"/>
    <x v="1"/>
    <x v="2"/>
  </r>
  <r>
    <x v="11"/>
    <x v="92"/>
    <x v="1"/>
    <x v="70"/>
    <x v="64"/>
    <x v="86"/>
  </r>
  <r>
    <x v="11"/>
    <x v="93"/>
    <x v="0"/>
    <x v="20"/>
    <x v="19"/>
    <x v="1"/>
  </r>
  <r>
    <x v="12"/>
    <x v="119"/>
    <x v="1"/>
    <x v="59"/>
    <x v="37"/>
    <x v="1"/>
  </r>
  <r>
    <x v="12"/>
    <x v="96"/>
    <x v="1"/>
    <x v="401"/>
    <x v="440"/>
    <x v="216"/>
  </r>
  <r>
    <x v="21"/>
    <x v="57"/>
    <x v="1"/>
    <x v="731"/>
    <x v="733"/>
    <x v="468"/>
  </r>
  <r>
    <x v="21"/>
    <x v="2"/>
    <x v="1"/>
    <x v="20"/>
    <x v="19"/>
    <x v="1"/>
  </r>
  <r>
    <x v="14"/>
    <x v="116"/>
    <x v="1"/>
    <x v="974"/>
    <x v="9"/>
    <x v="9"/>
  </r>
  <r>
    <x v="14"/>
    <x v="113"/>
    <x v="1"/>
    <x v="20"/>
    <x v="19"/>
    <x v="1"/>
  </r>
  <r>
    <x v="15"/>
    <x v="9"/>
    <x v="1"/>
    <x v="426"/>
    <x v="19"/>
    <x v="2"/>
  </r>
  <r>
    <x v="15"/>
    <x v="92"/>
    <x v="1"/>
    <x v="975"/>
    <x v="734"/>
    <x v="8"/>
  </r>
  <r>
    <x v="15"/>
    <x v="93"/>
    <x v="1"/>
    <x v="497"/>
    <x v="388"/>
    <x v="607"/>
  </r>
  <r>
    <x v="15"/>
    <x v="80"/>
    <x v="1"/>
    <x v="976"/>
    <x v="735"/>
    <x v="608"/>
  </r>
  <r>
    <x v="16"/>
    <x v="61"/>
    <x v="1"/>
    <x v="977"/>
    <x v="736"/>
    <x v="609"/>
  </r>
  <r>
    <x v="16"/>
    <x v="1"/>
    <x v="1"/>
    <x v="10"/>
    <x v="43"/>
    <x v="1"/>
  </r>
  <r>
    <x v="17"/>
    <x v="101"/>
    <x v="1"/>
    <x v="978"/>
    <x v="737"/>
    <x v="610"/>
  </r>
  <r>
    <x v="18"/>
    <x v="3"/>
    <x v="0"/>
    <x v="979"/>
    <x v="1"/>
    <x v="1"/>
  </r>
  <r>
    <x v="18"/>
    <x v="114"/>
    <x v="0"/>
    <x v="436"/>
    <x v="25"/>
    <x v="9"/>
  </r>
  <r>
    <x v="19"/>
    <x v="116"/>
    <x v="1"/>
    <x v="980"/>
    <x v="1"/>
    <x v="1"/>
  </r>
  <r>
    <x v="19"/>
    <x v="115"/>
    <x v="1"/>
    <x v="68"/>
    <x v="62"/>
    <x v="259"/>
  </r>
  <r>
    <x v="0"/>
    <x v="90"/>
    <x v="1"/>
    <x v="1"/>
    <x v="1"/>
    <x v="2"/>
  </r>
  <r>
    <x v="20"/>
    <x v="97"/>
    <x v="0"/>
    <x v="892"/>
    <x v="671"/>
    <x v="611"/>
  </r>
  <r>
    <x v="20"/>
    <x v="139"/>
    <x v="1"/>
    <x v="106"/>
    <x v="150"/>
    <x v="612"/>
  </r>
  <r>
    <x v="1"/>
    <x v="50"/>
    <x v="1"/>
    <x v="981"/>
    <x v="62"/>
    <x v="267"/>
  </r>
  <r>
    <x v="1"/>
    <x v="79"/>
    <x v="1"/>
    <x v="373"/>
    <x v="24"/>
    <x v="45"/>
  </r>
  <r>
    <x v="1"/>
    <x v="134"/>
    <x v="0"/>
    <x v="93"/>
    <x v="25"/>
    <x v="2"/>
  </r>
  <r>
    <x v="1"/>
    <x v="74"/>
    <x v="1"/>
    <x v="84"/>
    <x v="2"/>
    <x v="9"/>
  </r>
  <r>
    <x v="2"/>
    <x v="20"/>
    <x v="1"/>
    <x v="830"/>
    <x v="77"/>
    <x v="523"/>
  </r>
  <r>
    <x v="2"/>
    <x v="69"/>
    <x v="1"/>
    <x v="982"/>
    <x v="738"/>
    <x v="613"/>
  </r>
  <r>
    <x v="3"/>
    <x v="115"/>
    <x v="1"/>
    <x v="58"/>
    <x v="681"/>
    <x v="614"/>
  </r>
  <r>
    <x v="4"/>
    <x v="75"/>
    <x v="0"/>
    <x v="983"/>
    <x v="739"/>
    <x v="615"/>
  </r>
  <r>
    <x v="5"/>
    <x v="3"/>
    <x v="0"/>
    <x v="984"/>
    <x v="19"/>
    <x v="1"/>
  </r>
  <r>
    <x v="6"/>
    <x v="50"/>
    <x v="0"/>
    <x v="165"/>
    <x v="551"/>
    <x v="144"/>
  </r>
  <r>
    <x v="6"/>
    <x v="69"/>
    <x v="0"/>
    <x v="509"/>
    <x v="361"/>
    <x v="274"/>
  </r>
  <r>
    <x v="6"/>
    <x v="14"/>
    <x v="0"/>
    <x v="985"/>
    <x v="740"/>
    <x v="616"/>
  </r>
  <r>
    <x v="7"/>
    <x v="25"/>
    <x v="0"/>
    <x v="986"/>
    <x v="44"/>
    <x v="1"/>
  </r>
  <r>
    <x v="7"/>
    <x v="71"/>
    <x v="1"/>
    <x v="480"/>
    <x v="240"/>
    <x v="99"/>
  </r>
  <r>
    <x v="8"/>
    <x v="77"/>
    <x v="1"/>
    <x v="987"/>
    <x v="741"/>
    <x v="79"/>
  </r>
  <r>
    <x v="8"/>
    <x v="5"/>
    <x v="0"/>
    <x v="988"/>
    <x v="742"/>
    <x v="617"/>
  </r>
  <r>
    <x v="8"/>
    <x v="115"/>
    <x v="0"/>
    <x v="1"/>
    <x v="1"/>
    <x v="1"/>
  </r>
  <r>
    <x v="9"/>
    <x v="122"/>
    <x v="0"/>
    <x v="989"/>
    <x v="85"/>
    <x v="39"/>
  </r>
  <r>
    <x v="9"/>
    <x v="94"/>
    <x v="1"/>
    <x v="990"/>
    <x v="1"/>
    <x v="2"/>
  </r>
  <r>
    <x v="9"/>
    <x v="77"/>
    <x v="1"/>
    <x v="991"/>
    <x v="743"/>
    <x v="618"/>
  </r>
  <r>
    <x v="9"/>
    <x v="29"/>
    <x v="1"/>
    <x v="992"/>
    <x v="44"/>
    <x v="1"/>
  </r>
  <r>
    <x v="9"/>
    <x v="102"/>
    <x v="1"/>
    <x v="8"/>
    <x v="25"/>
    <x v="1"/>
  </r>
  <r>
    <x v="10"/>
    <x v="116"/>
    <x v="0"/>
    <x v="1"/>
    <x v="1"/>
    <x v="1"/>
  </r>
  <r>
    <x v="10"/>
    <x v="23"/>
    <x v="0"/>
    <x v="993"/>
    <x v="353"/>
    <x v="254"/>
  </r>
  <r>
    <x v="10"/>
    <x v="4"/>
    <x v="1"/>
    <x v="8"/>
    <x v="25"/>
    <x v="9"/>
  </r>
  <r>
    <x v="10"/>
    <x v="130"/>
    <x v="1"/>
    <x v="1"/>
    <x v="1"/>
    <x v="1"/>
  </r>
  <r>
    <x v="10"/>
    <x v="71"/>
    <x v="0"/>
    <x v="994"/>
    <x v="744"/>
    <x v="619"/>
  </r>
  <r>
    <x v="11"/>
    <x v="45"/>
    <x v="1"/>
    <x v="914"/>
    <x v="745"/>
    <x v="254"/>
  </r>
  <r>
    <x v="21"/>
    <x v="26"/>
    <x v="1"/>
    <x v="485"/>
    <x v="399"/>
    <x v="357"/>
  </r>
  <r>
    <x v="21"/>
    <x v="23"/>
    <x v="1"/>
    <x v="429"/>
    <x v="24"/>
    <x v="34"/>
  </r>
  <r>
    <x v="21"/>
    <x v="119"/>
    <x v="1"/>
    <x v="20"/>
    <x v="19"/>
    <x v="1"/>
  </r>
  <r>
    <x v="21"/>
    <x v="99"/>
    <x v="0"/>
    <x v="59"/>
    <x v="44"/>
    <x v="1"/>
  </r>
  <r>
    <x v="13"/>
    <x v="33"/>
    <x v="1"/>
    <x v="791"/>
    <x v="746"/>
    <x v="620"/>
  </r>
  <r>
    <x v="14"/>
    <x v="12"/>
    <x v="0"/>
    <x v="422"/>
    <x v="128"/>
    <x v="30"/>
  </r>
  <r>
    <x v="14"/>
    <x v="40"/>
    <x v="1"/>
    <x v="844"/>
    <x v="747"/>
    <x v="238"/>
  </r>
  <r>
    <x v="15"/>
    <x v="81"/>
    <x v="1"/>
    <x v="995"/>
    <x v="748"/>
    <x v="621"/>
  </r>
  <r>
    <x v="15"/>
    <x v="76"/>
    <x v="1"/>
    <x v="42"/>
    <x v="483"/>
    <x v="81"/>
  </r>
  <r>
    <x v="16"/>
    <x v="76"/>
    <x v="1"/>
    <x v="833"/>
    <x v="691"/>
    <x v="173"/>
  </r>
  <r>
    <x v="17"/>
    <x v="124"/>
    <x v="1"/>
    <x v="996"/>
    <x v="749"/>
    <x v="123"/>
  </r>
  <r>
    <x v="18"/>
    <x v="37"/>
    <x v="1"/>
    <x v="997"/>
    <x v="25"/>
    <x v="1"/>
  </r>
  <r>
    <x v="19"/>
    <x v="0"/>
    <x v="1"/>
    <x v="1"/>
    <x v="1"/>
    <x v="1"/>
  </r>
  <r>
    <x v="19"/>
    <x v="13"/>
    <x v="1"/>
    <x v="422"/>
    <x v="19"/>
    <x v="2"/>
  </r>
  <r>
    <x v="19"/>
    <x v="104"/>
    <x v="0"/>
    <x v="1"/>
    <x v="1"/>
    <x v="1"/>
  </r>
  <r>
    <x v="19"/>
    <x v="104"/>
    <x v="1"/>
    <x v="998"/>
    <x v="69"/>
    <x v="3"/>
  </r>
  <r>
    <x v="0"/>
    <x v="144"/>
    <x v="1"/>
    <x v="263"/>
    <x v="197"/>
    <x v="117"/>
  </r>
  <r>
    <x v="0"/>
    <x v="41"/>
    <x v="0"/>
    <x v="112"/>
    <x v="8"/>
    <x v="294"/>
  </r>
  <r>
    <x v="20"/>
    <x v="147"/>
    <x v="1"/>
    <x v="569"/>
    <x v="44"/>
    <x v="1"/>
  </r>
  <r>
    <x v="20"/>
    <x v="48"/>
    <x v="1"/>
    <x v="999"/>
    <x v="44"/>
    <x v="1"/>
  </r>
  <r>
    <x v="2"/>
    <x v="9"/>
    <x v="1"/>
    <x v="786"/>
    <x v="657"/>
    <x v="546"/>
  </r>
  <r>
    <x v="2"/>
    <x v="48"/>
    <x v="1"/>
    <x v="1000"/>
    <x v="44"/>
    <x v="1"/>
  </r>
  <r>
    <x v="3"/>
    <x v="49"/>
    <x v="1"/>
    <x v="55"/>
    <x v="22"/>
    <x v="22"/>
  </r>
  <r>
    <x v="3"/>
    <x v="5"/>
    <x v="1"/>
    <x v="1001"/>
    <x v="750"/>
    <x v="622"/>
  </r>
  <r>
    <x v="3"/>
    <x v="93"/>
    <x v="1"/>
    <x v="1002"/>
    <x v="751"/>
    <x v="620"/>
  </r>
  <r>
    <x v="3"/>
    <x v="107"/>
    <x v="1"/>
    <x v="20"/>
    <x v="19"/>
    <x v="2"/>
  </r>
  <r>
    <x v="3"/>
    <x v="104"/>
    <x v="1"/>
    <x v="343"/>
    <x v="264"/>
    <x v="213"/>
  </r>
  <r>
    <x v="4"/>
    <x v="139"/>
    <x v="1"/>
    <x v="91"/>
    <x v="752"/>
    <x v="329"/>
  </r>
  <r>
    <x v="4"/>
    <x v="86"/>
    <x v="0"/>
    <x v="1003"/>
    <x v="753"/>
    <x v="623"/>
  </r>
  <r>
    <x v="4"/>
    <x v="156"/>
    <x v="1"/>
    <x v="187"/>
    <x v="754"/>
    <x v="624"/>
  </r>
  <r>
    <x v="6"/>
    <x v="3"/>
    <x v="1"/>
    <x v="1004"/>
    <x v="25"/>
    <x v="9"/>
  </r>
  <r>
    <x v="6"/>
    <x v="47"/>
    <x v="1"/>
    <x v="1005"/>
    <x v="412"/>
    <x v="155"/>
  </r>
  <r>
    <x v="6"/>
    <x v="48"/>
    <x v="0"/>
    <x v="1006"/>
    <x v="44"/>
    <x v="1"/>
  </r>
  <r>
    <x v="8"/>
    <x v="12"/>
    <x v="1"/>
    <x v="665"/>
    <x v="76"/>
    <x v="270"/>
  </r>
  <r>
    <x v="8"/>
    <x v="16"/>
    <x v="0"/>
    <x v="124"/>
    <x v="8"/>
    <x v="39"/>
  </r>
  <r>
    <x v="9"/>
    <x v="98"/>
    <x v="0"/>
    <x v="1007"/>
    <x v="25"/>
    <x v="1"/>
  </r>
  <r>
    <x v="9"/>
    <x v="76"/>
    <x v="1"/>
    <x v="626"/>
    <x v="487"/>
    <x v="81"/>
  </r>
  <r>
    <x v="10"/>
    <x v="75"/>
    <x v="1"/>
    <x v="1008"/>
    <x v="755"/>
    <x v="625"/>
  </r>
  <r>
    <x v="10"/>
    <x v="128"/>
    <x v="1"/>
    <x v="1009"/>
    <x v="756"/>
    <x v="626"/>
  </r>
  <r>
    <x v="11"/>
    <x v="135"/>
    <x v="0"/>
    <x v="20"/>
    <x v="44"/>
    <x v="1"/>
  </r>
  <r>
    <x v="11"/>
    <x v="135"/>
    <x v="1"/>
    <x v="1010"/>
    <x v="465"/>
    <x v="325"/>
  </r>
  <r>
    <x v="11"/>
    <x v="40"/>
    <x v="1"/>
    <x v="1011"/>
    <x v="757"/>
    <x v="295"/>
  </r>
  <r>
    <x v="12"/>
    <x v="71"/>
    <x v="0"/>
    <x v="331"/>
    <x v="213"/>
    <x v="227"/>
  </r>
  <r>
    <x v="21"/>
    <x v="94"/>
    <x v="0"/>
    <x v="1012"/>
    <x v="128"/>
    <x v="30"/>
  </r>
  <r>
    <x v="21"/>
    <x v="3"/>
    <x v="0"/>
    <x v="1013"/>
    <x v="19"/>
    <x v="1"/>
  </r>
  <r>
    <x v="21"/>
    <x v="1"/>
    <x v="1"/>
    <x v="1"/>
    <x v="1"/>
    <x v="1"/>
  </r>
  <r>
    <x v="21"/>
    <x v="103"/>
    <x v="1"/>
    <x v="331"/>
    <x v="82"/>
    <x v="227"/>
  </r>
  <r>
    <x v="13"/>
    <x v="86"/>
    <x v="0"/>
    <x v="437"/>
    <x v="340"/>
    <x v="627"/>
  </r>
  <r>
    <x v="14"/>
    <x v="32"/>
    <x v="0"/>
    <x v="135"/>
    <x v="37"/>
    <x v="2"/>
  </r>
  <r>
    <x v="14"/>
    <x v="61"/>
    <x v="1"/>
    <x v="1014"/>
    <x v="758"/>
    <x v="628"/>
  </r>
  <r>
    <x v="14"/>
    <x v="78"/>
    <x v="1"/>
    <x v="1015"/>
    <x v="759"/>
    <x v="407"/>
  </r>
  <r>
    <x v="14"/>
    <x v="18"/>
    <x v="1"/>
    <x v="1"/>
    <x v="1"/>
    <x v="1"/>
  </r>
  <r>
    <x v="14"/>
    <x v="99"/>
    <x v="1"/>
    <x v="23"/>
    <x v="44"/>
    <x v="1"/>
  </r>
  <r>
    <x v="14"/>
    <x v="118"/>
    <x v="1"/>
    <x v="116"/>
    <x v="103"/>
    <x v="629"/>
  </r>
  <r>
    <x v="14"/>
    <x v="14"/>
    <x v="1"/>
    <x v="1016"/>
    <x v="760"/>
    <x v="630"/>
  </r>
  <r>
    <x v="15"/>
    <x v="118"/>
    <x v="1"/>
    <x v="1017"/>
    <x v="761"/>
    <x v="178"/>
  </r>
  <r>
    <x v="15"/>
    <x v="100"/>
    <x v="0"/>
    <x v="50"/>
    <x v="9"/>
    <x v="2"/>
  </r>
  <r>
    <x v="16"/>
    <x v="87"/>
    <x v="1"/>
    <x v="24"/>
    <x v="23"/>
    <x v="347"/>
  </r>
  <r>
    <x v="16"/>
    <x v="88"/>
    <x v="1"/>
    <x v="1018"/>
    <x v="762"/>
    <x v="190"/>
  </r>
  <r>
    <x v="16"/>
    <x v="163"/>
    <x v="0"/>
    <x v="1019"/>
    <x v="763"/>
    <x v="77"/>
  </r>
  <r>
    <x v="16"/>
    <x v="48"/>
    <x v="1"/>
    <x v="1020"/>
    <x v="44"/>
    <x v="1"/>
  </r>
  <r>
    <x v="17"/>
    <x v="3"/>
    <x v="1"/>
    <x v="1021"/>
    <x v="25"/>
    <x v="2"/>
  </r>
  <r>
    <x v="17"/>
    <x v="147"/>
    <x v="1"/>
    <x v="1"/>
    <x v="44"/>
    <x v="1"/>
  </r>
  <r>
    <x v="17"/>
    <x v="31"/>
    <x v="0"/>
    <x v="1022"/>
    <x v="764"/>
    <x v="631"/>
  </r>
  <r>
    <x v="19"/>
    <x v="81"/>
    <x v="1"/>
    <x v="523"/>
    <x v="215"/>
    <x v="40"/>
  </r>
  <r>
    <x v="19"/>
    <x v="68"/>
    <x v="1"/>
    <x v="163"/>
    <x v="452"/>
    <x v="192"/>
  </r>
  <r>
    <x v="0"/>
    <x v="8"/>
    <x v="1"/>
    <x v="1023"/>
    <x v="624"/>
    <x v="632"/>
  </r>
  <r>
    <x v="0"/>
    <x v="24"/>
    <x v="1"/>
    <x v="1"/>
    <x v="1"/>
    <x v="2"/>
  </r>
  <r>
    <x v="0"/>
    <x v="131"/>
    <x v="1"/>
    <x v="1024"/>
    <x v="765"/>
    <x v="633"/>
  </r>
  <r>
    <x v="20"/>
    <x v="9"/>
    <x v="1"/>
    <x v="1025"/>
    <x v="656"/>
    <x v="231"/>
  </r>
  <r>
    <x v="1"/>
    <x v="116"/>
    <x v="0"/>
    <x v="1026"/>
    <x v="19"/>
    <x v="9"/>
  </r>
  <r>
    <x v="2"/>
    <x v="40"/>
    <x v="1"/>
    <x v="1027"/>
    <x v="754"/>
    <x v="308"/>
  </r>
  <r>
    <x v="3"/>
    <x v="0"/>
    <x v="0"/>
    <x v="1028"/>
    <x v="766"/>
    <x v="634"/>
  </r>
  <r>
    <x v="3"/>
    <x v="5"/>
    <x v="0"/>
    <x v="1029"/>
    <x v="767"/>
    <x v="635"/>
  </r>
  <r>
    <x v="3"/>
    <x v="97"/>
    <x v="0"/>
    <x v="952"/>
    <x v="768"/>
    <x v="259"/>
  </r>
  <r>
    <x v="3"/>
    <x v="139"/>
    <x v="1"/>
    <x v="1030"/>
    <x v="287"/>
    <x v="108"/>
  </r>
  <r>
    <x v="3"/>
    <x v="70"/>
    <x v="0"/>
    <x v="222"/>
    <x v="658"/>
    <x v="208"/>
  </r>
  <r>
    <x v="4"/>
    <x v="43"/>
    <x v="1"/>
    <x v="523"/>
    <x v="215"/>
    <x v="34"/>
  </r>
  <r>
    <x v="5"/>
    <x v="75"/>
    <x v="1"/>
    <x v="1031"/>
    <x v="769"/>
    <x v="636"/>
  </r>
  <r>
    <x v="5"/>
    <x v="66"/>
    <x v="1"/>
    <x v="96"/>
    <x v="83"/>
    <x v="164"/>
  </r>
  <r>
    <x v="5"/>
    <x v="12"/>
    <x v="1"/>
    <x v="1032"/>
    <x v="565"/>
    <x v="520"/>
  </r>
  <r>
    <x v="6"/>
    <x v="76"/>
    <x v="0"/>
    <x v="602"/>
    <x v="770"/>
    <x v="361"/>
  </r>
  <r>
    <x v="7"/>
    <x v="45"/>
    <x v="1"/>
    <x v="262"/>
    <x v="208"/>
    <x v="211"/>
  </r>
  <r>
    <x v="8"/>
    <x v="59"/>
    <x v="1"/>
    <x v="20"/>
    <x v="19"/>
    <x v="1"/>
  </r>
  <r>
    <x v="9"/>
    <x v="62"/>
    <x v="0"/>
    <x v="1033"/>
    <x v="9"/>
    <x v="2"/>
  </r>
  <r>
    <x v="9"/>
    <x v="13"/>
    <x v="1"/>
    <x v="304"/>
    <x v="771"/>
    <x v="64"/>
  </r>
  <r>
    <x v="9"/>
    <x v="76"/>
    <x v="0"/>
    <x v="1034"/>
    <x v="772"/>
    <x v="637"/>
  </r>
  <r>
    <x v="10"/>
    <x v="135"/>
    <x v="1"/>
    <x v="215"/>
    <x v="773"/>
    <x v="638"/>
  </r>
  <r>
    <x v="10"/>
    <x v="12"/>
    <x v="1"/>
    <x v="1035"/>
    <x v="656"/>
    <x v="357"/>
  </r>
  <r>
    <x v="11"/>
    <x v="8"/>
    <x v="1"/>
    <x v="1036"/>
    <x v="774"/>
    <x v="306"/>
  </r>
  <r>
    <x v="11"/>
    <x v="93"/>
    <x v="1"/>
    <x v="519"/>
    <x v="775"/>
    <x v="639"/>
  </r>
  <r>
    <x v="11"/>
    <x v="14"/>
    <x v="0"/>
    <x v="1037"/>
    <x v="776"/>
    <x v="640"/>
  </r>
  <r>
    <x v="11"/>
    <x v="103"/>
    <x v="1"/>
    <x v="62"/>
    <x v="14"/>
    <x v="117"/>
  </r>
  <r>
    <x v="21"/>
    <x v="19"/>
    <x v="1"/>
    <x v="958"/>
    <x v="662"/>
    <x v="259"/>
  </r>
  <r>
    <x v="21"/>
    <x v="12"/>
    <x v="1"/>
    <x v="1038"/>
    <x v="146"/>
    <x v="266"/>
  </r>
  <r>
    <x v="21"/>
    <x v="111"/>
    <x v="0"/>
    <x v="830"/>
    <x v="44"/>
    <x v="1"/>
  </r>
  <r>
    <x v="13"/>
    <x v="32"/>
    <x v="1"/>
    <x v="660"/>
    <x v="79"/>
    <x v="454"/>
  </r>
  <r>
    <x v="13"/>
    <x v="3"/>
    <x v="0"/>
    <x v="1039"/>
    <x v="1"/>
    <x v="1"/>
  </r>
  <r>
    <x v="14"/>
    <x v="0"/>
    <x v="1"/>
    <x v="1040"/>
    <x v="777"/>
    <x v="641"/>
  </r>
  <r>
    <x v="14"/>
    <x v="120"/>
    <x v="1"/>
    <x v="930"/>
    <x v="778"/>
    <x v="166"/>
  </r>
  <r>
    <x v="14"/>
    <x v="86"/>
    <x v="0"/>
    <x v="1041"/>
    <x v="779"/>
    <x v="189"/>
  </r>
  <r>
    <x v="14"/>
    <x v="86"/>
    <x v="1"/>
    <x v="737"/>
    <x v="780"/>
    <x v="642"/>
  </r>
  <r>
    <x v="14"/>
    <x v="2"/>
    <x v="1"/>
    <x v="1"/>
    <x v="1"/>
    <x v="1"/>
  </r>
  <r>
    <x v="15"/>
    <x v="112"/>
    <x v="0"/>
    <x v="389"/>
    <x v="303"/>
    <x v="207"/>
  </r>
  <r>
    <x v="15"/>
    <x v="12"/>
    <x v="0"/>
    <x v="50"/>
    <x v="25"/>
    <x v="2"/>
  </r>
  <r>
    <x v="15"/>
    <x v="40"/>
    <x v="1"/>
    <x v="1"/>
    <x v="1"/>
    <x v="2"/>
  </r>
  <r>
    <x v="16"/>
    <x v="3"/>
    <x v="1"/>
    <x v="1042"/>
    <x v="1"/>
    <x v="1"/>
  </r>
  <r>
    <x v="16"/>
    <x v="120"/>
    <x v="0"/>
    <x v="529"/>
    <x v="781"/>
    <x v="643"/>
  </r>
  <r>
    <x v="16"/>
    <x v="99"/>
    <x v="1"/>
    <x v="40"/>
    <x v="44"/>
    <x v="1"/>
  </r>
  <r>
    <x v="16"/>
    <x v="16"/>
    <x v="1"/>
    <x v="1"/>
    <x v="1"/>
    <x v="1"/>
  </r>
  <r>
    <x v="17"/>
    <x v="122"/>
    <x v="1"/>
    <x v="1"/>
    <x v="44"/>
    <x v="1"/>
  </r>
  <r>
    <x v="17"/>
    <x v="84"/>
    <x v="0"/>
    <x v="15"/>
    <x v="85"/>
    <x v="46"/>
  </r>
  <r>
    <x v="17"/>
    <x v="93"/>
    <x v="0"/>
    <x v="485"/>
    <x v="378"/>
    <x v="644"/>
  </r>
  <r>
    <x v="17"/>
    <x v="120"/>
    <x v="1"/>
    <x v="1043"/>
    <x v="782"/>
    <x v="645"/>
  </r>
  <r>
    <x v="17"/>
    <x v="104"/>
    <x v="1"/>
    <x v="1044"/>
    <x v="783"/>
    <x v="429"/>
  </r>
  <r>
    <x v="19"/>
    <x v="163"/>
    <x v="1"/>
    <x v="444"/>
    <x v="784"/>
    <x v="258"/>
  </r>
  <r>
    <x v="0"/>
    <x v="0"/>
    <x v="1"/>
    <x v="1045"/>
    <x v="785"/>
    <x v="603"/>
  </r>
  <r>
    <x v="20"/>
    <x v="8"/>
    <x v="1"/>
    <x v="1046"/>
    <x v="786"/>
    <x v="646"/>
  </r>
  <r>
    <x v="20"/>
    <x v="131"/>
    <x v="1"/>
    <x v="792"/>
    <x v="704"/>
    <x v="20"/>
  </r>
  <r>
    <x v="20"/>
    <x v="86"/>
    <x v="1"/>
    <x v="1047"/>
    <x v="787"/>
    <x v="647"/>
  </r>
  <r>
    <x v="1"/>
    <x v="59"/>
    <x v="0"/>
    <x v="394"/>
    <x v="22"/>
    <x v="117"/>
  </r>
  <r>
    <x v="1"/>
    <x v="132"/>
    <x v="0"/>
    <x v="396"/>
    <x v="44"/>
    <x v="1"/>
  </r>
  <r>
    <x v="2"/>
    <x v="11"/>
    <x v="1"/>
    <x v="1048"/>
    <x v="138"/>
    <x v="231"/>
  </r>
  <r>
    <x v="2"/>
    <x v="5"/>
    <x v="1"/>
    <x v="1049"/>
    <x v="788"/>
    <x v="648"/>
  </r>
  <r>
    <x v="2"/>
    <x v="132"/>
    <x v="1"/>
    <x v="77"/>
    <x v="1"/>
    <x v="2"/>
  </r>
  <r>
    <x v="3"/>
    <x v="11"/>
    <x v="0"/>
    <x v="198"/>
    <x v="127"/>
    <x v="49"/>
  </r>
  <r>
    <x v="3"/>
    <x v="76"/>
    <x v="1"/>
    <x v="522"/>
    <x v="410"/>
    <x v="649"/>
  </r>
  <r>
    <x v="4"/>
    <x v="7"/>
    <x v="1"/>
    <x v="11"/>
    <x v="789"/>
    <x v="560"/>
  </r>
  <r>
    <x v="6"/>
    <x v="23"/>
    <x v="1"/>
    <x v="293"/>
    <x v="232"/>
    <x v="40"/>
  </r>
  <r>
    <x v="6"/>
    <x v="79"/>
    <x v="1"/>
    <x v="89"/>
    <x v="790"/>
    <x v="546"/>
  </r>
  <r>
    <x v="7"/>
    <x v="54"/>
    <x v="1"/>
    <x v="93"/>
    <x v="25"/>
    <x v="9"/>
  </r>
  <r>
    <x v="7"/>
    <x v="166"/>
    <x v="1"/>
    <x v="1050"/>
    <x v="791"/>
    <x v="650"/>
  </r>
  <r>
    <x v="7"/>
    <x v="74"/>
    <x v="1"/>
    <x v="1051"/>
    <x v="2"/>
    <x v="9"/>
  </r>
  <r>
    <x v="8"/>
    <x v="159"/>
    <x v="0"/>
    <x v="958"/>
    <x v="19"/>
    <x v="2"/>
  </r>
  <r>
    <x v="9"/>
    <x v="37"/>
    <x v="1"/>
    <x v="669"/>
    <x v="9"/>
    <x v="9"/>
  </r>
  <r>
    <x v="9"/>
    <x v="36"/>
    <x v="1"/>
    <x v="8"/>
    <x v="25"/>
    <x v="1"/>
  </r>
  <r>
    <x v="10"/>
    <x v="75"/>
    <x v="0"/>
    <x v="1052"/>
    <x v="792"/>
    <x v="651"/>
  </r>
  <r>
    <x v="10"/>
    <x v="26"/>
    <x v="1"/>
    <x v="1053"/>
    <x v="793"/>
    <x v="390"/>
  </r>
  <r>
    <x v="10"/>
    <x v="118"/>
    <x v="1"/>
    <x v="237"/>
    <x v="191"/>
    <x v="586"/>
  </r>
  <r>
    <x v="10"/>
    <x v="38"/>
    <x v="1"/>
    <x v="20"/>
    <x v="19"/>
    <x v="2"/>
  </r>
  <r>
    <x v="11"/>
    <x v="36"/>
    <x v="1"/>
    <x v="8"/>
    <x v="25"/>
    <x v="1"/>
  </r>
  <r>
    <x v="11"/>
    <x v="119"/>
    <x v="1"/>
    <x v="8"/>
    <x v="25"/>
    <x v="1"/>
  </r>
  <r>
    <x v="11"/>
    <x v="48"/>
    <x v="0"/>
    <x v="1054"/>
    <x v="44"/>
    <x v="1"/>
  </r>
  <r>
    <x v="12"/>
    <x v="65"/>
    <x v="1"/>
    <x v="1"/>
    <x v="1"/>
    <x v="2"/>
  </r>
  <r>
    <x v="21"/>
    <x v="26"/>
    <x v="0"/>
    <x v="1001"/>
    <x v="794"/>
    <x v="541"/>
  </r>
  <r>
    <x v="21"/>
    <x v="29"/>
    <x v="0"/>
    <x v="20"/>
    <x v="19"/>
    <x v="1"/>
  </r>
  <r>
    <x v="21"/>
    <x v="14"/>
    <x v="1"/>
    <x v="1055"/>
    <x v="795"/>
    <x v="652"/>
  </r>
  <r>
    <x v="13"/>
    <x v="87"/>
    <x v="1"/>
    <x v="1056"/>
    <x v="796"/>
    <x v="301"/>
  </r>
  <r>
    <x v="13"/>
    <x v="8"/>
    <x v="0"/>
    <x v="836"/>
    <x v="638"/>
    <x v="63"/>
  </r>
  <r>
    <x v="13"/>
    <x v="54"/>
    <x v="1"/>
    <x v="20"/>
    <x v="19"/>
    <x v="1"/>
  </r>
  <r>
    <x v="13"/>
    <x v="45"/>
    <x v="1"/>
    <x v="313"/>
    <x v="241"/>
    <x v="58"/>
  </r>
  <r>
    <x v="14"/>
    <x v="31"/>
    <x v="1"/>
    <x v="39"/>
    <x v="246"/>
    <x v="15"/>
  </r>
  <r>
    <x v="14"/>
    <x v="90"/>
    <x v="1"/>
    <x v="1"/>
    <x v="1"/>
    <x v="1"/>
  </r>
  <r>
    <x v="14"/>
    <x v="98"/>
    <x v="1"/>
    <x v="1057"/>
    <x v="52"/>
    <x v="34"/>
  </r>
  <r>
    <x v="14"/>
    <x v="102"/>
    <x v="1"/>
    <x v="1"/>
    <x v="1"/>
    <x v="1"/>
  </r>
  <r>
    <x v="14"/>
    <x v="74"/>
    <x v="1"/>
    <x v="1058"/>
    <x v="1"/>
    <x v="1"/>
  </r>
  <r>
    <x v="14"/>
    <x v="104"/>
    <x v="1"/>
    <x v="974"/>
    <x v="797"/>
    <x v="539"/>
  </r>
  <r>
    <x v="15"/>
    <x v="151"/>
    <x v="1"/>
    <x v="1056"/>
    <x v="223"/>
    <x v="488"/>
  </r>
  <r>
    <x v="16"/>
    <x v="26"/>
    <x v="1"/>
    <x v="161"/>
    <x v="762"/>
    <x v="254"/>
  </r>
  <r>
    <x v="16"/>
    <x v="40"/>
    <x v="1"/>
    <x v="1059"/>
    <x v="729"/>
    <x v="194"/>
  </r>
  <r>
    <x v="17"/>
    <x v="99"/>
    <x v="0"/>
    <x v="8"/>
    <x v="44"/>
    <x v="1"/>
  </r>
  <r>
    <x v="17"/>
    <x v="129"/>
    <x v="0"/>
    <x v="95"/>
    <x v="798"/>
    <x v="653"/>
  </r>
  <r>
    <x v="18"/>
    <x v="0"/>
    <x v="0"/>
    <x v="556"/>
    <x v="435"/>
    <x v="273"/>
  </r>
  <r>
    <x v="19"/>
    <x v="3"/>
    <x v="0"/>
    <x v="1060"/>
    <x v="44"/>
    <x v="1"/>
  </r>
  <r>
    <x v="0"/>
    <x v="45"/>
    <x v="1"/>
    <x v="46"/>
    <x v="123"/>
    <x v="347"/>
  </r>
  <r>
    <x v="0"/>
    <x v="96"/>
    <x v="1"/>
    <x v="1061"/>
    <x v="799"/>
    <x v="172"/>
  </r>
  <r>
    <x v="20"/>
    <x v="69"/>
    <x v="0"/>
    <x v="864"/>
    <x v="653"/>
    <x v="654"/>
  </r>
  <r>
    <x v="1"/>
    <x v="64"/>
    <x v="1"/>
    <x v="1062"/>
    <x v="800"/>
    <x v="18"/>
  </r>
  <r>
    <x v="1"/>
    <x v="20"/>
    <x v="1"/>
    <x v="415"/>
    <x v="323"/>
    <x v="190"/>
  </r>
  <r>
    <x v="1"/>
    <x v="6"/>
    <x v="1"/>
    <x v="1063"/>
    <x v="801"/>
    <x v="655"/>
  </r>
  <r>
    <x v="2"/>
    <x v="42"/>
    <x v="1"/>
    <x v="140"/>
    <x v="802"/>
    <x v="656"/>
  </r>
  <r>
    <x v="2"/>
    <x v="38"/>
    <x v="1"/>
    <x v="198"/>
    <x v="166"/>
    <x v="227"/>
  </r>
  <r>
    <x v="3"/>
    <x v="37"/>
    <x v="1"/>
    <x v="1"/>
    <x v="1"/>
    <x v="2"/>
  </r>
  <r>
    <x v="3"/>
    <x v="133"/>
    <x v="0"/>
    <x v="1064"/>
    <x v="718"/>
    <x v="162"/>
  </r>
  <r>
    <x v="3"/>
    <x v="139"/>
    <x v="0"/>
    <x v="1"/>
    <x v="44"/>
    <x v="1"/>
  </r>
  <r>
    <x v="3"/>
    <x v="156"/>
    <x v="0"/>
    <x v="1065"/>
    <x v="281"/>
    <x v="488"/>
  </r>
  <r>
    <x v="5"/>
    <x v="75"/>
    <x v="0"/>
    <x v="1066"/>
    <x v="803"/>
    <x v="657"/>
  </r>
  <r>
    <x v="6"/>
    <x v="89"/>
    <x v="1"/>
    <x v="1"/>
    <x v="1"/>
    <x v="1"/>
  </r>
  <r>
    <x v="7"/>
    <x v="75"/>
    <x v="1"/>
    <x v="1067"/>
    <x v="804"/>
    <x v="658"/>
  </r>
  <r>
    <x v="7"/>
    <x v="76"/>
    <x v="0"/>
    <x v="1068"/>
    <x v="805"/>
    <x v="262"/>
  </r>
  <r>
    <x v="7"/>
    <x v="14"/>
    <x v="0"/>
    <x v="1069"/>
    <x v="806"/>
    <x v="659"/>
  </r>
  <r>
    <x v="8"/>
    <x v="135"/>
    <x v="1"/>
    <x v="504"/>
    <x v="36"/>
    <x v="22"/>
  </r>
  <r>
    <x v="8"/>
    <x v="48"/>
    <x v="1"/>
    <x v="1070"/>
    <x v="44"/>
    <x v="1"/>
  </r>
  <r>
    <x v="9"/>
    <x v="116"/>
    <x v="0"/>
    <x v="1071"/>
    <x v="9"/>
    <x v="21"/>
  </r>
  <r>
    <x v="9"/>
    <x v="118"/>
    <x v="1"/>
    <x v="203"/>
    <x v="165"/>
    <x v="173"/>
  </r>
  <r>
    <x v="10"/>
    <x v="113"/>
    <x v="1"/>
    <x v="1"/>
    <x v="1"/>
    <x v="1"/>
  </r>
  <r>
    <x v="10"/>
    <x v="48"/>
    <x v="0"/>
    <x v="1072"/>
    <x v="44"/>
    <x v="1"/>
  </r>
  <r>
    <x v="11"/>
    <x v="26"/>
    <x v="1"/>
    <x v="1073"/>
    <x v="807"/>
    <x v="79"/>
  </r>
  <r>
    <x v="11"/>
    <x v="8"/>
    <x v="0"/>
    <x v="1074"/>
    <x v="808"/>
    <x v="397"/>
  </r>
  <r>
    <x v="11"/>
    <x v="86"/>
    <x v="1"/>
    <x v="662"/>
    <x v="517"/>
    <x v="650"/>
  </r>
  <r>
    <x v="12"/>
    <x v="62"/>
    <x v="0"/>
    <x v="1075"/>
    <x v="25"/>
    <x v="9"/>
  </r>
  <r>
    <x v="12"/>
    <x v="3"/>
    <x v="1"/>
    <x v="1076"/>
    <x v="44"/>
    <x v="1"/>
  </r>
  <r>
    <x v="12"/>
    <x v="76"/>
    <x v="1"/>
    <x v="226"/>
    <x v="34"/>
    <x v="273"/>
  </r>
  <r>
    <x v="21"/>
    <x v="48"/>
    <x v="1"/>
    <x v="1077"/>
    <x v="44"/>
    <x v="1"/>
  </r>
  <r>
    <x v="13"/>
    <x v="75"/>
    <x v="1"/>
    <x v="1078"/>
    <x v="809"/>
    <x v="660"/>
  </r>
  <r>
    <x v="13"/>
    <x v="112"/>
    <x v="0"/>
    <x v="1079"/>
    <x v="810"/>
    <x v="661"/>
  </r>
  <r>
    <x v="13"/>
    <x v="36"/>
    <x v="1"/>
    <x v="20"/>
    <x v="19"/>
    <x v="1"/>
  </r>
  <r>
    <x v="13"/>
    <x v="151"/>
    <x v="0"/>
    <x v="20"/>
    <x v="1"/>
    <x v="1"/>
  </r>
  <r>
    <x v="13"/>
    <x v="57"/>
    <x v="0"/>
    <x v="1"/>
    <x v="1"/>
    <x v="2"/>
  </r>
  <r>
    <x v="13"/>
    <x v="18"/>
    <x v="1"/>
    <x v="20"/>
    <x v="19"/>
    <x v="1"/>
  </r>
  <r>
    <x v="14"/>
    <x v="105"/>
    <x v="1"/>
    <x v="1"/>
    <x v="1"/>
    <x v="1"/>
  </r>
  <r>
    <x v="14"/>
    <x v="14"/>
    <x v="0"/>
    <x v="1080"/>
    <x v="811"/>
    <x v="662"/>
  </r>
  <r>
    <x v="15"/>
    <x v="62"/>
    <x v="0"/>
    <x v="250"/>
    <x v="25"/>
    <x v="1"/>
  </r>
  <r>
    <x v="15"/>
    <x v="87"/>
    <x v="1"/>
    <x v="504"/>
    <x v="394"/>
    <x v="488"/>
  </r>
  <r>
    <x v="15"/>
    <x v="0"/>
    <x v="1"/>
    <x v="1081"/>
    <x v="812"/>
    <x v="663"/>
  </r>
  <r>
    <x v="15"/>
    <x v="36"/>
    <x v="1"/>
    <x v="1"/>
    <x v="1"/>
    <x v="1"/>
  </r>
  <r>
    <x v="16"/>
    <x v="12"/>
    <x v="1"/>
    <x v="424"/>
    <x v="88"/>
    <x v="406"/>
  </r>
  <r>
    <x v="16"/>
    <x v="147"/>
    <x v="1"/>
    <x v="1082"/>
    <x v="44"/>
    <x v="1"/>
  </r>
  <r>
    <x v="17"/>
    <x v="0"/>
    <x v="1"/>
    <x v="1083"/>
    <x v="813"/>
    <x v="664"/>
  </r>
  <r>
    <x v="17"/>
    <x v="160"/>
    <x v="0"/>
    <x v="164"/>
    <x v="30"/>
    <x v="1"/>
  </r>
  <r>
    <x v="18"/>
    <x v="112"/>
    <x v="1"/>
    <x v="1084"/>
    <x v="814"/>
    <x v="342"/>
  </r>
  <r>
    <x v="18"/>
    <x v="137"/>
    <x v="1"/>
    <x v="614"/>
    <x v="815"/>
    <x v="626"/>
  </r>
  <r>
    <x v="19"/>
    <x v="27"/>
    <x v="0"/>
    <x v="93"/>
    <x v="2"/>
    <x v="2"/>
  </r>
  <r>
    <x v="0"/>
    <x v="53"/>
    <x v="1"/>
    <x v="1"/>
    <x v="1"/>
    <x v="2"/>
  </r>
  <r>
    <x v="0"/>
    <x v="97"/>
    <x v="1"/>
    <x v="1085"/>
    <x v="816"/>
    <x v="152"/>
  </r>
  <r>
    <x v="0"/>
    <x v="86"/>
    <x v="0"/>
    <x v="1086"/>
    <x v="817"/>
    <x v="665"/>
  </r>
  <r>
    <x v="20"/>
    <x v="5"/>
    <x v="1"/>
    <x v="1087"/>
    <x v="818"/>
    <x v="666"/>
  </r>
  <r>
    <x v="1"/>
    <x v="116"/>
    <x v="1"/>
    <x v="1088"/>
    <x v="128"/>
    <x v="39"/>
  </r>
  <r>
    <x v="1"/>
    <x v="139"/>
    <x v="1"/>
    <x v="1089"/>
    <x v="655"/>
    <x v="54"/>
  </r>
  <r>
    <x v="2"/>
    <x v="107"/>
    <x v="1"/>
    <x v="1090"/>
    <x v="819"/>
    <x v="319"/>
  </r>
  <r>
    <x v="2"/>
    <x v="139"/>
    <x v="0"/>
    <x v="284"/>
    <x v="37"/>
    <x v="9"/>
  </r>
  <r>
    <x v="3"/>
    <x v="125"/>
    <x v="1"/>
    <x v="30"/>
    <x v="37"/>
    <x v="21"/>
  </r>
  <r>
    <x v="3"/>
    <x v="95"/>
    <x v="1"/>
    <x v="250"/>
    <x v="200"/>
    <x v="667"/>
  </r>
  <r>
    <x v="3"/>
    <x v="73"/>
    <x v="1"/>
    <x v="1091"/>
    <x v="820"/>
    <x v="668"/>
  </r>
  <r>
    <x v="3"/>
    <x v="47"/>
    <x v="1"/>
    <x v="1092"/>
    <x v="821"/>
    <x v="669"/>
  </r>
  <r>
    <x v="4"/>
    <x v="93"/>
    <x v="0"/>
    <x v="246"/>
    <x v="52"/>
    <x v="32"/>
  </r>
  <r>
    <x v="4"/>
    <x v="134"/>
    <x v="1"/>
    <x v="1093"/>
    <x v="822"/>
    <x v="426"/>
  </r>
  <r>
    <x v="6"/>
    <x v="41"/>
    <x v="0"/>
    <x v="59"/>
    <x v="25"/>
    <x v="2"/>
  </r>
  <r>
    <x v="6"/>
    <x v="59"/>
    <x v="0"/>
    <x v="59"/>
    <x v="9"/>
    <x v="9"/>
  </r>
  <r>
    <x v="6"/>
    <x v="133"/>
    <x v="1"/>
    <x v="23"/>
    <x v="53"/>
    <x v="34"/>
  </r>
  <r>
    <x v="6"/>
    <x v="76"/>
    <x v="1"/>
    <x v="1094"/>
    <x v="527"/>
    <x v="391"/>
  </r>
  <r>
    <x v="7"/>
    <x v="86"/>
    <x v="0"/>
    <x v="1095"/>
    <x v="823"/>
    <x v="670"/>
  </r>
  <r>
    <x v="8"/>
    <x v="79"/>
    <x v="1"/>
    <x v="1096"/>
    <x v="85"/>
    <x v="30"/>
  </r>
  <r>
    <x v="9"/>
    <x v="0"/>
    <x v="0"/>
    <x v="1097"/>
    <x v="824"/>
    <x v="671"/>
  </r>
  <r>
    <x v="9"/>
    <x v="54"/>
    <x v="1"/>
    <x v="8"/>
    <x v="25"/>
    <x v="1"/>
  </r>
  <r>
    <x v="9"/>
    <x v="95"/>
    <x v="1"/>
    <x v="59"/>
    <x v="37"/>
    <x v="21"/>
  </r>
  <r>
    <x v="10"/>
    <x v="58"/>
    <x v="1"/>
    <x v="1098"/>
    <x v="825"/>
    <x v="578"/>
  </r>
  <r>
    <x v="11"/>
    <x v="71"/>
    <x v="1"/>
    <x v="1099"/>
    <x v="826"/>
    <x v="281"/>
  </r>
  <r>
    <x v="11"/>
    <x v="16"/>
    <x v="1"/>
    <x v="162"/>
    <x v="827"/>
    <x v="89"/>
  </r>
  <r>
    <x v="12"/>
    <x v="75"/>
    <x v="1"/>
    <x v="1100"/>
    <x v="828"/>
    <x v="672"/>
  </r>
  <r>
    <x v="12"/>
    <x v="58"/>
    <x v="1"/>
    <x v="20"/>
    <x v="19"/>
    <x v="9"/>
  </r>
  <r>
    <x v="21"/>
    <x v="75"/>
    <x v="0"/>
    <x v="1101"/>
    <x v="829"/>
    <x v="673"/>
  </r>
  <r>
    <x v="21"/>
    <x v="62"/>
    <x v="0"/>
    <x v="814"/>
    <x v="1"/>
    <x v="1"/>
  </r>
  <r>
    <x v="21"/>
    <x v="54"/>
    <x v="1"/>
    <x v="1"/>
    <x v="1"/>
    <x v="1"/>
  </r>
  <r>
    <x v="13"/>
    <x v="100"/>
    <x v="0"/>
    <x v="181"/>
    <x v="152"/>
    <x v="215"/>
  </r>
  <r>
    <x v="14"/>
    <x v="75"/>
    <x v="1"/>
    <x v="1102"/>
    <x v="830"/>
    <x v="674"/>
  </r>
  <r>
    <x v="14"/>
    <x v="24"/>
    <x v="1"/>
    <x v="20"/>
    <x v="19"/>
    <x v="1"/>
  </r>
  <r>
    <x v="14"/>
    <x v="60"/>
    <x v="1"/>
    <x v="1"/>
    <x v="1"/>
    <x v="1"/>
  </r>
  <r>
    <x v="15"/>
    <x v="3"/>
    <x v="0"/>
    <x v="1103"/>
    <x v="2"/>
    <x v="2"/>
  </r>
  <r>
    <x v="15"/>
    <x v="88"/>
    <x v="1"/>
    <x v="457"/>
    <x v="236"/>
    <x v="216"/>
  </r>
  <r>
    <x v="15"/>
    <x v="130"/>
    <x v="1"/>
    <x v="1"/>
    <x v="1"/>
    <x v="1"/>
  </r>
  <r>
    <x v="16"/>
    <x v="31"/>
    <x v="0"/>
    <x v="1104"/>
    <x v="831"/>
    <x v="675"/>
  </r>
  <r>
    <x v="16"/>
    <x v="124"/>
    <x v="1"/>
    <x v="1105"/>
    <x v="832"/>
    <x v="676"/>
  </r>
  <r>
    <x v="17"/>
    <x v="24"/>
    <x v="1"/>
    <x v="1"/>
    <x v="1"/>
    <x v="1"/>
  </r>
  <r>
    <x v="17"/>
    <x v="163"/>
    <x v="1"/>
    <x v="772"/>
    <x v="833"/>
    <x v="255"/>
  </r>
  <r>
    <x v="17"/>
    <x v="48"/>
    <x v="0"/>
    <x v="1106"/>
    <x v="44"/>
    <x v="1"/>
  </r>
  <r>
    <x v="18"/>
    <x v="24"/>
    <x v="0"/>
    <x v="1"/>
    <x v="1"/>
    <x v="1"/>
  </r>
  <r>
    <x v="18"/>
    <x v="99"/>
    <x v="1"/>
    <x v="147"/>
    <x v="44"/>
    <x v="1"/>
  </r>
  <r>
    <x v="18"/>
    <x v="163"/>
    <x v="0"/>
    <x v="324"/>
    <x v="130"/>
    <x v="30"/>
  </r>
  <r>
    <x v="19"/>
    <x v="31"/>
    <x v="1"/>
    <x v="587"/>
    <x v="834"/>
    <x v="621"/>
  </r>
  <r>
    <x v="19"/>
    <x v="101"/>
    <x v="1"/>
    <x v="1107"/>
    <x v="835"/>
    <x v="677"/>
  </r>
  <r>
    <x v="19"/>
    <x v="82"/>
    <x v="1"/>
    <x v="50"/>
    <x v="9"/>
    <x v="1"/>
  </r>
  <r>
    <x v="0"/>
    <x v="57"/>
    <x v="1"/>
    <x v="20"/>
    <x v="19"/>
    <x v="9"/>
  </r>
  <r>
    <x v="20"/>
    <x v="109"/>
    <x v="1"/>
    <x v="1108"/>
    <x v="44"/>
    <x v="1"/>
  </r>
  <r>
    <x v="20"/>
    <x v="107"/>
    <x v="1"/>
    <x v="1109"/>
    <x v="836"/>
    <x v="157"/>
  </r>
  <r>
    <x v="20"/>
    <x v="6"/>
    <x v="1"/>
    <x v="1110"/>
    <x v="595"/>
    <x v="462"/>
  </r>
  <r>
    <x v="20"/>
    <x v="108"/>
    <x v="0"/>
    <x v="36"/>
    <x v="36"/>
    <x v="227"/>
  </r>
  <r>
    <x v="1"/>
    <x v="65"/>
    <x v="1"/>
    <x v="812"/>
    <x v="618"/>
    <x v="678"/>
  </r>
  <r>
    <x v="1"/>
    <x v="79"/>
    <x v="0"/>
    <x v="54"/>
    <x v="82"/>
    <x v="454"/>
  </r>
  <r>
    <x v="2"/>
    <x v="37"/>
    <x v="1"/>
    <x v="861"/>
    <x v="37"/>
    <x v="2"/>
  </r>
  <r>
    <x v="2"/>
    <x v="93"/>
    <x v="1"/>
    <x v="859"/>
    <x v="837"/>
    <x v="598"/>
  </r>
  <r>
    <x v="3"/>
    <x v="38"/>
    <x v="1"/>
    <x v="666"/>
    <x v="345"/>
    <x v="679"/>
  </r>
  <r>
    <x v="4"/>
    <x v="118"/>
    <x v="1"/>
    <x v="267"/>
    <x v="752"/>
    <x v="57"/>
  </r>
  <r>
    <x v="5"/>
    <x v="71"/>
    <x v="1"/>
    <x v="918"/>
    <x v="838"/>
    <x v="667"/>
  </r>
  <r>
    <x v="6"/>
    <x v="8"/>
    <x v="1"/>
    <x v="1111"/>
    <x v="839"/>
    <x v="477"/>
  </r>
  <r>
    <x v="6"/>
    <x v="86"/>
    <x v="1"/>
    <x v="1112"/>
    <x v="840"/>
    <x v="680"/>
  </r>
  <r>
    <x v="7"/>
    <x v="135"/>
    <x v="1"/>
    <x v="25"/>
    <x v="145"/>
    <x v="34"/>
  </r>
  <r>
    <x v="7"/>
    <x v="65"/>
    <x v="1"/>
    <x v="1113"/>
    <x v="841"/>
    <x v="167"/>
  </r>
  <r>
    <x v="7"/>
    <x v="109"/>
    <x v="1"/>
    <x v="1"/>
    <x v="1"/>
    <x v="1"/>
  </r>
  <r>
    <x v="7"/>
    <x v="1"/>
    <x v="1"/>
    <x v="20"/>
    <x v="19"/>
    <x v="2"/>
  </r>
  <r>
    <x v="8"/>
    <x v="8"/>
    <x v="1"/>
    <x v="130"/>
    <x v="115"/>
    <x v="389"/>
  </r>
  <r>
    <x v="8"/>
    <x v="119"/>
    <x v="1"/>
    <x v="1"/>
    <x v="1"/>
    <x v="1"/>
  </r>
  <r>
    <x v="8"/>
    <x v="68"/>
    <x v="1"/>
    <x v="1114"/>
    <x v="842"/>
    <x v="12"/>
  </r>
  <r>
    <x v="8"/>
    <x v="118"/>
    <x v="1"/>
    <x v="571"/>
    <x v="448"/>
    <x v="624"/>
  </r>
  <r>
    <x v="8"/>
    <x v="22"/>
    <x v="1"/>
    <x v="9"/>
    <x v="551"/>
    <x v="220"/>
  </r>
  <r>
    <x v="9"/>
    <x v="111"/>
    <x v="0"/>
    <x v="131"/>
    <x v="176"/>
    <x v="593"/>
  </r>
  <r>
    <x v="9"/>
    <x v="71"/>
    <x v="0"/>
    <x v="1115"/>
    <x v="843"/>
    <x v="681"/>
  </r>
  <r>
    <x v="9"/>
    <x v="34"/>
    <x v="1"/>
    <x v="20"/>
    <x v="19"/>
    <x v="1"/>
  </r>
  <r>
    <x v="10"/>
    <x v="69"/>
    <x v="0"/>
    <x v="1116"/>
    <x v="844"/>
    <x v="158"/>
  </r>
  <r>
    <x v="10"/>
    <x v="5"/>
    <x v="0"/>
    <x v="730"/>
    <x v="845"/>
    <x v="682"/>
  </r>
  <r>
    <x v="10"/>
    <x v="93"/>
    <x v="1"/>
    <x v="1117"/>
    <x v="846"/>
    <x v="683"/>
  </r>
  <r>
    <x v="10"/>
    <x v="68"/>
    <x v="1"/>
    <x v="401"/>
    <x v="440"/>
    <x v="163"/>
  </r>
  <r>
    <x v="11"/>
    <x v="76"/>
    <x v="1"/>
    <x v="295"/>
    <x v="233"/>
    <x v="301"/>
  </r>
  <r>
    <x v="12"/>
    <x v="100"/>
    <x v="1"/>
    <x v="219"/>
    <x v="178"/>
    <x v="12"/>
  </r>
  <r>
    <x v="21"/>
    <x v="30"/>
    <x v="1"/>
    <x v="1118"/>
    <x v="847"/>
    <x v="684"/>
  </r>
  <r>
    <x v="21"/>
    <x v="92"/>
    <x v="1"/>
    <x v="9"/>
    <x v="551"/>
    <x v="8"/>
  </r>
  <r>
    <x v="21"/>
    <x v="60"/>
    <x v="1"/>
    <x v="1"/>
    <x v="1"/>
    <x v="1"/>
  </r>
  <r>
    <x v="14"/>
    <x v="54"/>
    <x v="1"/>
    <x v="1"/>
    <x v="1"/>
    <x v="1"/>
  </r>
  <r>
    <x v="14"/>
    <x v="101"/>
    <x v="0"/>
    <x v="1119"/>
    <x v="848"/>
    <x v="685"/>
  </r>
  <r>
    <x v="15"/>
    <x v="94"/>
    <x v="0"/>
    <x v="1120"/>
    <x v="44"/>
    <x v="1"/>
  </r>
  <r>
    <x v="15"/>
    <x v="98"/>
    <x v="1"/>
    <x v="319"/>
    <x v="1"/>
    <x v="2"/>
  </r>
  <r>
    <x v="16"/>
    <x v="98"/>
    <x v="1"/>
    <x v="1121"/>
    <x v="19"/>
    <x v="1"/>
  </r>
  <r>
    <x v="17"/>
    <x v="35"/>
    <x v="1"/>
    <x v="70"/>
    <x v="64"/>
    <x v="45"/>
  </r>
  <r>
    <x v="17"/>
    <x v="53"/>
    <x v="1"/>
    <x v="1"/>
    <x v="1"/>
    <x v="1"/>
  </r>
  <r>
    <x v="18"/>
    <x v="57"/>
    <x v="1"/>
    <x v="1122"/>
    <x v="849"/>
    <x v="686"/>
  </r>
  <r>
    <x v="18"/>
    <x v="130"/>
    <x v="1"/>
    <x v="1"/>
    <x v="1"/>
    <x v="1"/>
  </r>
  <r>
    <x v="19"/>
    <x v="99"/>
    <x v="1"/>
    <x v="8"/>
    <x v="44"/>
    <x v="1"/>
  </r>
  <r>
    <x v="19"/>
    <x v="14"/>
    <x v="1"/>
    <x v="910"/>
    <x v="422"/>
    <x v="638"/>
  </r>
  <r>
    <x v="0"/>
    <x v="5"/>
    <x v="1"/>
    <x v="1123"/>
    <x v="850"/>
    <x v="687"/>
  </r>
  <r>
    <x v="0"/>
    <x v="132"/>
    <x v="1"/>
    <x v="1124"/>
    <x v="9"/>
    <x v="46"/>
  </r>
  <r>
    <x v="1"/>
    <x v="148"/>
    <x v="0"/>
    <x v="93"/>
    <x v="2"/>
    <x v="21"/>
  </r>
  <r>
    <x v="2"/>
    <x v="23"/>
    <x v="1"/>
    <x v="463"/>
    <x v="553"/>
    <x v="42"/>
  </r>
  <r>
    <x v="2"/>
    <x v="49"/>
    <x v="1"/>
    <x v="62"/>
    <x v="163"/>
    <x v="32"/>
  </r>
  <r>
    <x v="2"/>
    <x v="65"/>
    <x v="0"/>
    <x v="586"/>
    <x v="360"/>
    <x v="688"/>
  </r>
  <r>
    <x v="2"/>
    <x v="132"/>
    <x v="0"/>
    <x v="77"/>
    <x v="1"/>
    <x v="2"/>
  </r>
  <r>
    <x v="2"/>
    <x v="134"/>
    <x v="0"/>
    <x v="1"/>
    <x v="1"/>
    <x v="1"/>
  </r>
  <r>
    <x v="3"/>
    <x v="8"/>
    <x v="0"/>
    <x v="345"/>
    <x v="266"/>
    <x v="689"/>
  </r>
  <r>
    <x v="3"/>
    <x v="156"/>
    <x v="1"/>
    <x v="530"/>
    <x v="613"/>
    <x v="646"/>
  </r>
  <r>
    <x v="4"/>
    <x v="8"/>
    <x v="0"/>
    <x v="890"/>
    <x v="851"/>
    <x v="247"/>
  </r>
  <r>
    <x v="5"/>
    <x v="135"/>
    <x v="0"/>
    <x v="238"/>
    <x v="852"/>
    <x v="690"/>
  </r>
  <r>
    <x v="5"/>
    <x v="115"/>
    <x v="1"/>
    <x v="159"/>
    <x v="92"/>
    <x v="154"/>
  </r>
  <r>
    <x v="5"/>
    <x v="48"/>
    <x v="0"/>
    <x v="1125"/>
    <x v="44"/>
    <x v="1"/>
  </r>
  <r>
    <x v="6"/>
    <x v="93"/>
    <x v="0"/>
    <x v="302"/>
    <x v="63"/>
    <x v="129"/>
  </r>
  <r>
    <x v="7"/>
    <x v="90"/>
    <x v="1"/>
    <x v="20"/>
    <x v="19"/>
    <x v="2"/>
  </r>
  <r>
    <x v="7"/>
    <x v="69"/>
    <x v="1"/>
    <x v="758"/>
    <x v="583"/>
    <x v="477"/>
  </r>
  <r>
    <x v="8"/>
    <x v="107"/>
    <x v="1"/>
    <x v="1126"/>
    <x v="853"/>
    <x v="691"/>
  </r>
  <r>
    <x v="8"/>
    <x v="38"/>
    <x v="1"/>
    <x v="1127"/>
    <x v="854"/>
    <x v="692"/>
  </r>
  <r>
    <x v="9"/>
    <x v="37"/>
    <x v="0"/>
    <x v="1128"/>
    <x v="85"/>
    <x v="46"/>
  </r>
  <r>
    <x v="9"/>
    <x v="30"/>
    <x v="1"/>
    <x v="1129"/>
    <x v="855"/>
    <x v="693"/>
  </r>
  <r>
    <x v="9"/>
    <x v="1"/>
    <x v="1"/>
    <x v="8"/>
    <x v="25"/>
    <x v="1"/>
  </r>
  <r>
    <x v="9"/>
    <x v="16"/>
    <x v="0"/>
    <x v="422"/>
    <x v="43"/>
    <x v="2"/>
  </r>
  <r>
    <x v="9"/>
    <x v="16"/>
    <x v="1"/>
    <x v="1090"/>
    <x v="717"/>
    <x v="91"/>
  </r>
  <r>
    <x v="10"/>
    <x v="59"/>
    <x v="1"/>
    <x v="135"/>
    <x v="19"/>
    <x v="1"/>
  </r>
  <r>
    <x v="10"/>
    <x v="88"/>
    <x v="0"/>
    <x v="971"/>
    <x v="730"/>
    <x v="192"/>
  </r>
  <r>
    <x v="10"/>
    <x v="115"/>
    <x v="1"/>
    <x v="8"/>
    <x v="25"/>
    <x v="9"/>
  </r>
  <r>
    <x v="10"/>
    <x v="102"/>
    <x v="1"/>
    <x v="1130"/>
    <x v="856"/>
    <x v="694"/>
  </r>
  <r>
    <x v="10"/>
    <x v="16"/>
    <x v="0"/>
    <x v="879"/>
    <x v="241"/>
    <x v="22"/>
  </r>
  <r>
    <x v="11"/>
    <x v="75"/>
    <x v="0"/>
    <x v="1131"/>
    <x v="857"/>
    <x v="695"/>
  </r>
  <r>
    <x v="11"/>
    <x v="37"/>
    <x v="0"/>
    <x v="20"/>
    <x v="44"/>
    <x v="1"/>
  </r>
  <r>
    <x v="11"/>
    <x v="76"/>
    <x v="0"/>
    <x v="50"/>
    <x v="9"/>
    <x v="39"/>
  </r>
  <r>
    <x v="12"/>
    <x v="55"/>
    <x v="1"/>
    <x v="429"/>
    <x v="82"/>
    <x v="34"/>
  </r>
  <r>
    <x v="21"/>
    <x v="130"/>
    <x v="1"/>
    <x v="1"/>
    <x v="1"/>
    <x v="1"/>
  </r>
  <r>
    <x v="21"/>
    <x v="71"/>
    <x v="0"/>
    <x v="6"/>
    <x v="6"/>
    <x v="33"/>
  </r>
  <r>
    <x v="13"/>
    <x v="94"/>
    <x v="0"/>
    <x v="1132"/>
    <x v="2"/>
    <x v="21"/>
  </r>
  <r>
    <x v="13"/>
    <x v="12"/>
    <x v="1"/>
    <x v="991"/>
    <x v="858"/>
    <x v="257"/>
  </r>
  <r>
    <x v="14"/>
    <x v="3"/>
    <x v="0"/>
    <x v="1133"/>
    <x v="44"/>
    <x v="1"/>
  </r>
  <r>
    <x v="14"/>
    <x v="115"/>
    <x v="1"/>
    <x v="64"/>
    <x v="59"/>
    <x v="482"/>
  </r>
  <r>
    <x v="15"/>
    <x v="71"/>
    <x v="1"/>
    <x v="541"/>
    <x v="426"/>
    <x v="10"/>
  </r>
  <r>
    <x v="16"/>
    <x v="57"/>
    <x v="1"/>
    <x v="131"/>
    <x v="116"/>
    <x v="242"/>
  </r>
  <r>
    <x v="17"/>
    <x v="54"/>
    <x v="1"/>
    <x v="20"/>
    <x v="19"/>
    <x v="1"/>
  </r>
  <r>
    <x v="18"/>
    <x v="75"/>
    <x v="1"/>
    <x v="1134"/>
    <x v="859"/>
    <x v="696"/>
  </r>
  <r>
    <x v="18"/>
    <x v="94"/>
    <x v="0"/>
    <x v="1135"/>
    <x v="1"/>
    <x v="1"/>
  </r>
  <r>
    <x v="18"/>
    <x v="2"/>
    <x v="1"/>
    <x v="1"/>
    <x v="1"/>
    <x v="1"/>
  </r>
  <r>
    <x v="0"/>
    <x v="3"/>
    <x v="0"/>
    <x v="406"/>
    <x v="44"/>
    <x v="1"/>
  </r>
  <r>
    <x v="0"/>
    <x v="86"/>
    <x v="1"/>
    <x v="1136"/>
    <x v="860"/>
    <x v="697"/>
  </r>
  <r>
    <x v="20"/>
    <x v="94"/>
    <x v="1"/>
    <x v="1137"/>
    <x v="43"/>
    <x v="2"/>
  </r>
  <r>
    <x v="20"/>
    <x v="3"/>
    <x v="1"/>
    <x v="1138"/>
    <x v="2"/>
    <x v="2"/>
  </r>
  <r>
    <x v="1"/>
    <x v="66"/>
    <x v="1"/>
    <x v="502"/>
    <x v="392"/>
    <x v="698"/>
  </r>
  <r>
    <x v="1"/>
    <x v="159"/>
    <x v="0"/>
    <x v="538"/>
    <x v="242"/>
    <x v="49"/>
  </r>
  <r>
    <x v="1"/>
    <x v="108"/>
    <x v="1"/>
    <x v="581"/>
    <x v="861"/>
    <x v="699"/>
  </r>
  <r>
    <x v="2"/>
    <x v="74"/>
    <x v="1"/>
    <x v="1139"/>
    <x v="1"/>
    <x v="2"/>
  </r>
  <r>
    <x v="3"/>
    <x v="4"/>
    <x v="1"/>
    <x v="222"/>
    <x v="180"/>
    <x v="61"/>
  </r>
  <r>
    <x v="3"/>
    <x v="71"/>
    <x v="0"/>
    <x v="469"/>
    <x v="862"/>
    <x v="700"/>
  </r>
  <r>
    <x v="3"/>
    <x v="86"/>
    <x v="1"/>
    <x v="1140"/>
    <x v="863"/>
    <x v="701"/>
  </r>
  <r>
    <x v="4"/>
    <x v="50"/>
    <x v="1"/>
    <x v="814"/>
    <x v="864"/>
    <x v="702"/>
  </r>
  <r>
    <x v="4"/>
    <x v="146"/>
    <x v="1"/>
    <x v="504"/>
    <x v="22"/>
    <x v="14"/>
  </r>
  <r>
    <x v="4"/>
    <x v="93"/>
    <x v="1"/>
    <x v="1141"/>
    <x v="865"/>
    <x v="703"/>
  </r>
  <r>
    <x v="5"/>
    <x v="153"/>
    <x v="1"/>
    <x v="8"/>
    <x v="19"/>
    <x v="1"/>
  </r>
  <r>
    <x v="5"/>
    <x v="95"/>
    <x v="1"/>
    <x v="862"/>
    <x v="652"/>
    <x v="704"/>
  </r>
  <r>
    <x v="6"/>
    <x v="117"/>
    <x v="1"/>
    <x v="1142"/>
    <x v="698"/>
    <x v="237"/>
  </r>
  <r>
    <x v="6"/>
    <x v="155"/>
    <x v="1"/>
    <x v="326"/>
    <x v="254"/>
    <x v="12"/>
  </r>
  <r>
    <x v="8"/>
    <x v="8"/>
    <x v="0"/>
    <x v="647"/>
    <x v="503"/>
    <x v="301"/>
  </r>
  <r>
    <x v="8"/>
    <x v="166"/>
    <x v="1"/>
    <x v="1143"/>
    <x v="866"/>
    <x v="325"/>
  </r>
  <r>
    <x v="8"/>
    <x v="97"/>
    <x v="1"/>
    <x v="1144"/>
    <x v="867"/>
    <x v="705"/>
  </r>
  <r>
    <x v="9"/>
    <x v="167"/>
    <x v="1"/>
    <x v="980"/>
    <x v="315"/>
    <x v="116"/>
  </r>
  <r>
    <x v="9"/>
    <x v="55"/>
    <x v="1"/>
    <x v="164"/>
    <x v="30"/>
    <x v="9"/>
  </r>
  <r>
    <x v="10"/>
    <x v="94"/>
    <x v="1"/>
    <x v="1"/>
    <x v="1"/>
    <x v="2"/>
  </r>
  <r>
    <x v="10"/>
    <x v="44"/>
    <x v="0"/>
    <x v="334"/>
    <x v="44"/>
    <x v="1"/>
  </r>
  <r>
    <x v="11"/>
    <x v="21"/>
    <x v="1"/>
    <x v="36"/>
    <x v="197"/>
    <x v="9"/>
  </r>
  <r>
    <x v="12"/>
    <x v="94"/>
    <x v="0"/>
    <x v="1145"/>
    <x v="9"/>
    <x v="21"/>
  </r>
  <r>
    <x v="12"/>
    <x v="99"/>
    <x v="0"/>
    <x v="23"/>
    <x v="44"/>
    <x v="1"/>
  </r>
  <r>
    <x v="12"/>
    <x v="104"/>
    <x v="1"/>
    <x v="1146"/>
    <x v="868"/>
    <x v="613"/>
  </r>
  <r>
    <x v="21"/>
    <x v="75"/>
    <x v="1"/>
    <x v="103"/>
    <x v="90"/>
    <x v="706"/>
  </r>
  <r>
    <x v="21"/>
    <x v="37"/>
    <x v="0"/>
    <x v="1147"/>
    <x v="19"/>
    <x v="2"/>
  </r>
  <r>
    <x v="21"/>
    <x v="87"/>
    <x v="1"/>
    <x v="313"/>
    <x v="241"/>
    <x v="222"/>
  </r>
  <r>
    <x v="21"/>
    <x v="58"/>
    <x v="1"/>
    <x v="1148"/>
    <x v="869"/>
    <x v="556"/>
  </r>
  <r>
    <x v="13"/>
    <x v="119"/>
    <x v="1"/>
    <x v="1"/>
    <x v="1"/>
    <x v="1"/>
  </r>
  <r>
    <x v="14"/>
    <x v="55"/>
    <x v="0"/>
    <x v="1"/>
    <x v="1"/>
    <x v="2"/>
  </r>
  <r>
    <x v="14"/>
    <x v="100"/>
    <x v="0"/>
    <x v="1149"/>
    <x v="870"/>
    <x v="475"/>
  </r>
  <r>
    <x v="14"/>
    <x v="100"/>
    <x v="1"/>
    <x v="112"/>
    <x v="99"/>
    <x v="6"/>
  </r>
  <r>
    <x v="16"/>
    <x v="19"/>
    <x v="1"/>
    <x v="267"/>
    <x v="752"/>
    <x v="240"/>
  </r>
  <r>
    <x v="17"/>
    <x v="27"/>
    <x v="1"/>
    <x v="1150"/>
    <x v="765"/>
    <x v="168"/>
  </r>
  <r>
    <x v="17"/>
    <x v="12"/>
    <x v="0"/>
    <x v="1094"/>
    <x v="500"/>
    <x v="503"/>
  </r>
  <r>
    <x v="17"/>
    <x v="101"/>
    <x v="0"/>
    <x v="1151"/>
    <x v="871"/>
    <x v="381"/>
  </r>
  <r>
    <x v="18"/>
    <x v="75"/>
    <x v="0"/>
    <x v="1152"/>
    <x v="872"/>
    <x v="707"/>
  </r>
  <r>
    <x v="18"/>
    <x v="31"/>
    <x v="0"/>
    <x v="1153"/>
    <x v="873"/>
    <x v="160"/>
  </r>
  <r>
    <x v="18"/>
    <x v="71"/>
    <x v="1"/>
    <x v="264"/>
    <x v="209"/>
    <x v="159"/>
  </r>
  <r>
    <x v="19"/>
    <x v="93"/>
    <x v="0"/>
    <x v="61"/>
    <x v="49"/>
    <x v="40"/>
  </r>
  <r>
    <x v="19"/>
    <x v="35"/>
    <x v="1"/>
    <x v="62"/>
    <x v="163"/>
    <x v="30"/>
  </r>
  <r>
    <x v="19"/>
    <x v="1"/>
    <x v="1"/>
    <x v="59"/>
    <x v="37"/>
    <x v="1"/>
  </r>
  <r>
    <x v="0"/>
    <x v="64"/>
    <x v="0"/>
    <x v="1154"/>
    <x v="874"/>
    <x v="192"/>
  </r>
  <r>
    <x v="0"/>
    <x v="33"/>
    <x v="1"/>
    <x v="571"/>
    <x v="269"/>
    <x v="57"/>
  </r>
  <r>
    <x v="20"/>
    <x v="66"/>
    <x v="0"/>
    <x v="8"/>
    <x v="25"/>
    <x v="2"/>
  </r>
  <r>
    <x v="20"/>
    <x v="115"/>
    <x v="1"/>
    <x v="6"/>
    <x v="6"/>
    <x v="488"/>
  </r>
  <r>
    <x v="20"/>
    <x v="164"/>
    <x v="1"/>
    <x v="30"/>
    <x v="85"/>
    <x v="21"/>
  </r>
  <r>
    <x v="1"/>
    <x v="45"/>
    <x v="1"/>
    <x v="617"/>
    <x v="480"/>
    <x v="138"/>
  </r>
  <r>
    <x v="2"/>
    <x v="62"/>
    <x v="0"/>
    <x v="1155"/>
    <x v="9"/>
    <x v="46"/>
  </r>
  <r>
    <x v="2"/>
    <x v="0"/>
    <x v="0"/>
    <x v="1156"/>
    <x v="875"/>
    <x v="708"/>
  </r>
  <r>
    <x v="3"/>
    <x v="69"/>
    <x v="1"/>
    <x v="1157"/>
    <x v="876"/>
    <x v="183"/>
  </r>
  <r>
    <x v="3"/>
    <x v="88"/>
    <x v="1"/>
    <x v="1158"/>
    <x v="877"/>
    <x v="219"/>
  </r>
  <r>
    <x v="3"/>
    <x v="70"/>
    <x v="1"/>
    <x v="860"/>
    <x v="452"/>
    <x v="213"/>
  </r>
  <r>
    <x v="4"/>
    <x v="51"/>
    <x v="1"/>
    <x v="1139"/>
    <x v="878"/>
    <x v="125"/>
  </r>
  <r>
    <x v="4"/>
    <x v="133"/>
    <x v="0"/>
    <x v="641"/>
    <x v="442"/>
    <x v="709"/>
  </r>
  <r>
    <x v="5"/>
    <x v="43"/>
    <x v="1"/>
    <x v="23"/>
    <x v="82"/>
    <x v="40"/>
  </r>
  <r>
    <x v="5"/>
    <x v="59"/>
    <x v="0"/>
    <x v="1159"/>
    <x v="77"/>
    <x v="267"/>
  </r>
  <r>
    <x v="5"/>
    <x v="45"/>
    <x v="1"/>
    <x v="1160"/>
    <x v="879"/>
    <x v="312"/>
  </r>
  <r>
    <x v="6"/>
    <x v="116"/>
    <x v="0"/>
    <x v="1161"/>
    <x v="2"/>
    <x v="21"/>
  </r>
  <r>
    <x v="6"/>
    <x v="24"/>
    <x v="1"/>
    <x v="8"/>
    <x v="19"/>
    <x v="9"/>
  </r>
  <r>
    <x v="6"/>
    <x v="71"/>
    <x v="0"/>
    <x v="1162"/>
    <x v="880"/>
    <x v="134"/>
  </r>
  <r>
    <x v="8"/>
    <x v="40"/>
    <x v="1"/>
    <x v="146"/>
    <x v="279"/>
    <x v="710"/>
  </r>
  <r>
    <x v="8"/>
    <x v="86"/>
    <x v="1"/>
    <x v="1163"/>
    <x v="645"/>
    <x v="711"/>
  </r>
  <r>
    <x v="9"/>
    <x v="146"/>
    <x v="1"/>
    <x v="589"/>
    <x v="14"/>
    <x v="46"/>
  </r>
  <r>
    <x v="9"/>
    <x v="4"/>
    <x v="0"/>
    <x v="1164"/>
    <x v="853"/>
    <x v="357"/>
  </r>
  <r>
    <x v="9"/>
    <x v="4"/>
    <x v="1"/>
    <x v="759"/>
    <x v="761"/>
    <x v="649"/>
  </r>
  <r>
    <x v="10"/>
    <x v="86"/>
    <x v="0"/>
    <x v="1165"/>
    <x v="881"/>
    <x v="171"/>
  </r>
  <r>
    <x v="10"/>
    <x v="86"/>
    <x v="1"/>
    <x v="84"/>
    <x v="87"/>
    <x v="530"/>
  </r>
  <r>
    <x v="12"/>
    <x v="8"/>
    <x v="1"/>
    <x v="1166"/>
    <x v="882"/>
    <x v="712"/>
  </r>
  <r>
    <x v="12"/>
    <x v="50"/>
    <x v="1"/>
    <x v="1"/>
    <x v="44"/>
    <x v="1"/>
  </r>
  <r>
    <x v="21"/>
    <x v="112"/>
    <x v="1"/>
    <x v="655"/>
    <x v="291"/>
    <x v="340"/>
  </r>
  <r>
    <x v="21"/>
    <x v="43"/>
    <x v="1"/>
    <x v="1094"/>
    <x v="527"/>
    <x v="237"/>
  </r>
  <r>
    <x v="21"/>
    <x v="59"/>
    <x v="1"/>
    <x v="55"/>
    <x v="85"/>
    <x v="1"/>
  </r>
  <r>
    <x v="21"/>
    <x v="55"/>
    <x v="1"/>
    <x v="385"/>
    <x v="8"/>
    <x v="144"/>
  </r>
  <r>
    <x v="21"/>
    <x v="76"/>
    <x v="1"/>
    <x v="1148"/>
    <x v="869"/>
    <x v="230"/>
  </r>
  <r>
    <x v="21"/>
    <x v="74"/>
    <x v="0"/>
    <x v="672"/>
    <x v="19"/>
    <x v="1"/>
  </r>
  <r>
    <x v="13"/>
    <x v="5"/>
    <x v="1"/>
    <x v="60"/>
    <x v="57"/>
    <x v="52"/>
  </r>
  <r>
    <x v="14"/>
    <x v="82"/>
    <x v="1"/>
    <x v="1"/>
    <x v="1"/>
    <x v="1"/>
  </r>
  <r>
    <x v="14"/>
    <x v="22"/>
    <x v="1"/>
    <x v="409"/>
    <x v="232"/>
    <x v="89"/>
  </r>
  <r>
    <x v="15"/>
    <x v="74"/>
    <x v="1"/>
    <x v="1167"/>
    <x v="1"/>
    <x v="2"/>
  </r>
  <r>
    <x v="17"/>
    <x v="30"/>
    <x v="1"/>
    <x v="1121"/>
    <x v="883"/>
    <x v="167"/>
  </r>
  <r>
    <x v="17"/>
    <x v="61"/>
    <x v="1"/>
    <x v="1168"/>
    <x v="884"/>
    <x v="713"/>
  </r>
  <r>
    <x v="17"/>
    <x v="130"/>
    <x v="1"/>
    <x v="1"/>
    <x v="1"/>
    <x v="1"/>
  </r>
  <r>
    <x v="18"/>
    <x v="94"/>
    <x v="1"/>
    <x v="1169"/>
    <x v="19"/>
    <x v="2"/>
  </r>
  <r>
    <x v="18"/>
    <x v="113"/>
    <x v="1"/>
    <x v="1"/>
    <x v="1"/>
    <x v="1"/>
  </r>
  <r>
    <x v="18"/>
    <x v="98"/>
    <x v="0"/>
    <x v="177"/>
    <x v="44"/>
    <x v="1"/>
  </r>
  <r>
    <x v="18"/>
    <x v="74"/>
    <x v="1"/>
    <x v="857"/>
    <x v="1"/>
    <x v="2"/>
  </r>
  <r>
    <x v="19"/>
    <x v="129"/>
    <x v="0"/>
    <x v="604"/>
    <x v="660"/>
    <x v="86"/>
  </r>
  <r>
    <x v="19"/>
    <x v="129"/>
    <x v="1"/>
    <x v="1170"/>
    <x v="39"/>
    <x v="144"/>
  </r>
  <r>
    <x v="19"/>
    <x v="124"/>
    <x v="1"/>
    <x v="25"/>
    <x v="93"/>
    <x v="8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809F9C-FDB3-CB45-B3B0-28AA21499149}" name="PivotTable19" cacheId="14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A3:D25" firstHeaderRow="1" firstDataRow="2" firstDataCol="1"/>
  <pivotFields count="6">
    <pivotField showAll="0"/>
    <pivotField axis="axisRow" showAll="0" measureFilter="1" sortType="descending">
      <items count="169">
        <item x="150"/>
        <item x="117"/>
        <item x="42"/>
        <item x="75"/>
        <item x="64"/>
        <item x="144"/>
        <item x="125"/>
        <item x="26"/>
        <item x="32"/>
        <item x="87"/>
        <item x="37"/>
        <item x="62"/>
        <item x="116"/>
        <item x="94"/>
        <item x="122"/>
        <item x="23"/>
        <item x="148"/>
        <item x="126"/>
        <item x="145"/>
        <item x="140"/>
        <item x="3"/>
        <item x="8"/>
        <item x="10"/>
        <item x="113"/>
        <item x="0"/>
        <item x="33"/>
        <item x="112"/>
        <item x="43"/>
        <item x="28"/>
        <item x="19"/>
        <item x="11"/>
        <item x="81"/>
        <item x="135"/>
        <item x="27"/>
        <item x="77"/>
        <item x="123"/>
        <item x="66"/>
        <item x="157"/>
        <item x="54"/>
        <item x="12"/>
        <item x="13"/>
        <item x="41"/>
        <item x="49"/>
        <item x="142"/>
        <item x="147"/>
        <item x="44"/>
        <item x="153"/>
        <item x="30"/>
        <item x="50"/>
        <item x="9"/>
        <item x="17"/>
        <item x="65"/>
        <item x="20"/>
        <item x="167"/>
        <item x="31"/>
        <item x="59"/>
        <item x="92"/>
        <item x="101"/>
        <item x="36"/>
        <item x="90"/>
        <item x="149"/>
        <item x="146"/>
        <item x="69"/>
        <item x="55"/>
        <item x="151"/>
        <item x="70"/>
        <item x="72"/>
        <item x="111"/>
        <item x="84"/>
        <item x="4"/>
        <item x="45"/>
        <item x="137"/>
        <item x="88"/>
        <item x="57"/>
        <item x="61"/>
        <item x="67"/>
        <item x="78"/>
        <item x="95"/>
        <item x="119"/>
        <item x="109"/>
        <item x="51"/>
        <item x="58"/>
        <item x="89"/>
        <item x="110"/>
        <item x="155"/>
        <item x="5"/>
        <item x="121"/>
        <item x="15"/>
        <item x="63"/>
        <item x="115"/>
        <item x="82"/>
        <item x="24"/>
        <item x="132"/>
        <item x="93"/>
        <item x="105"/>
        <item x="79"/>
        <item x="133"/>
        <item x="73"/>
        <item x="18"/>
        <item x="138"/>
        <item x="159"/>
        <item x="106"/>
        <item x="52"/>
        <item x="29"/>
        <item x="162"/>
        <item x="46"/>
        <item x="127"/>
        <item x="85"/>
        <item x="114"/>
        <item x="120"/>
        <item x="21"/>
        <item x="98"/>
        <item x="99"/>
        <item x="68"/>
        <item x="141"/>
        <item x="130"/>
        <item x="35"/>
        <item x="1"/>
        <item x="96"/>
        <item x="165"/>
        <item x="161"/>
        <item x="131"/>
        <item x="80"/>
        <item x="160"/>
        <item x="163"/>
        <item x="136"/>
        <item x="56"/>
        <item x="102"/>
        <item x="166"/>
        <item x="39"/>
        <item x="134"/>
        <item x="152"/>
        <item x="25"/>
        <item x="128"/>
        <item x="53"/>
        <item x="107"/>
        <item x="164"/>
        <item x="71"/>
        <item x="76"/>
        <item x="97"/>
        <item x="34"/>
        <item x="118"/>
        <item x="74"/>
        <item x="6"/>
        <item x="100"/>
        <item x="139"/>
        <item x="129"/>
        <item x="40"/>
        <item x="16"/>
        <item x="108"/>
        <item x="86"/>
        <item x="156"/>
        <item x="22"/>
        <item x="60"/>
        <item x="14"/>
        <item x="7"/>
        <item x="47"/>
        <item x="143"/>
        <item x="83"/>
        <item x="124"/>
        <item x="2"/>
        <item x="154"/>
        <item x="104"/>
        <item x="91"/>
        <item x="38"/>
        <item x="103"/>
        <item x="158"/>
        <item x="48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2" count="1" selected="0">
              <x v="1"/>
            </reference>
          </references>
        </pivotArea>
      </autoSortScope>
    </pivotField>
    <pivotField axis="axisCol" showAll="0">
      <items count="3">
        <item x="0"/>
        <item x="1"/>
        <item t="default"/>
      </items>
    </pivotField>
    <pivotField showAll="0">
      <items count="1172">
        <item x="1"/>
        <item x="20"/>
        <item x="8"/>
        <item x="93"/>
        <item x="50"/>
        <item x="59"/>
        <item x="284"/>
        <item x="10"/>
        <item x="135"/>
        <item x="30"/>
        <item x="314"/>
        <item x="15"/>
        <item x="164"/>
        <item x="263"/>
        <item x="180"/>
        <item x="55"/>
        <item x="422"/>
        <item x="62"/>
        <item x="406"/>
        <item x="147"/>
        <item x="198"/>
        <item x="246"/>
        <item x="523"/>
        <item x="61"/>
        <item x="36"/>
        <item x="589"/>
        <item x="23"/>
        <item x="200"/>
        <item x="38"/>
        <item x="324"/>
        <item x="54"/>
        <item x="394"/>
        <item x="310"/>
        <item x="331"/>
        <item x="17"/>
        <item x="70"/>
        <item x="373"/>
        <item x="25"/>
        <item x="6"/>
        <item x="504"/>
        <item x="429"/>
        <item x="664"/>
        <item x="39"/>
        <item x="272"/>
        <item x="46"/>
        <item x="195"/>
        <item x="24"/>
        <item x="241"/>
        <item x="980"/>
        <item x="217"/>
        <item x="401"/>
        <item x="451"/>
        <item x="108"/>
        <item x="9"/>
        <item x="779"/>
        <item x="82"/>
        <item x="73"/>
        <item x="262"/>
        <item x="347"/>
        <item x="457"/>
        <item x="124"/>
        <item x="326"/>
        <item x="332"/>
        <item x="153"/>
        <item x="1114"/>
        <item x="409"/>
        <item x="112"/>
        <item x="385"/>
        <item x="22"/>
        <item x="366"/>
        <item x="243"/>
        <item x="165"/>
        <item x="313"/>
        <item x="541"/>
        <item x="302"/>
        <item x="1160"/>
        <item x="416"/>
        <item x="383"/>
        <item x="269"/>
        <item x="219"/>
        <item x="363"/>
        <item x="830"/>
        <item x="344"/>
        <item x="201"/>
        <item x="168"/>
        <item x="412"/>
        <item x="914"/>
        <item x="824"/>
        <item x="40"/>
        <item x="396"/>
        <item x="321"/>
        <item x="975"/>
        <item x="304"/>
        <item x="114"/>
        <item x="515"/>
        <item x="335"/>
        <item x="293"/>
        <item x="604"/>
        <item x="77"/>
        <item x="259"/>
        <item x="334"/>
        <item x="490"/>
        <item x="1149"/>
        <item x="267"/>
        <item x="294"/>
        <item x="399"/>
        <item x="415"/>
        <item x="78"/>
        <item x="1065"/>
        <item x="1159"/>
        <item x="68"/>
        <item x="879"/>
        <item x="45"/>
        <item x="21"/>
        <item x="226"/>
        <item x="724"/>
        <item x="628"/>
        <item x="911"/>
        <item x="288"/>
        <item x="734"/>
        <item x="958"/>
        <item x="931"/>
        <item x="556"/>
        <item x="101"/>
        <item x="787"/>
        <item x="715"/>
        <item x="483"/>
        <item x="616"/>
        <item x="516"/>
        <item x="783"/>
        <item x="249"/>
        <item x="11"/>
        <item x="1170"/>
        <item x="742"/>
        <item x="1018"/>
        <item x="677"/>
        <item x="191"/>
        <item x="57"/>
        <item x="952"/>
        <item x="475"/>
        <item x="626"/>
        <item x="666"/>
        <item x="34"/>
        <item x="740"/>
        <item x="617"/>
        <item x="388"/>
        <item x="222"/>
        <item x="42"/>
        <item x="216"/>
        <item x="763"/>
        <item x="69"/>
        <item x="1150"/>
        <item x="91"/>
        <item x="181"/>
        <item x="237"/>
        <item x="903"/>
        <item x="248"/>
        <item x="436"/>
        <item x="438"/>
        <item x="96"/>
        <item x="423"/>
        <item x="883"/>
        <item x="234"/>
        <item x="203"/>
        <item x="264"/>
        <item x="349"/>
        <item x="1061"/>
        <item x="280"/>
        <item x="591"/>
        <item x="642"/>
        <item x="1068"/>
        <item x="439"/>
        <item x="463"/>
        <item x="586"/>
        <item x="431"/>
        <item x="602"/>
        <item x="652"/>
        <item x="256"/>
        <item x="89"/>
        <item x="424"/>
        <item x="1124"/>
        <item x="986"/>
        <item x="121"/>
        <item x="122"/>
        <item x="686"/>
        <item x="1034"/>
        <item x="807"/>
        <item x="1056"/>
        <item x="1143"/>
        <item x="333"/>
        <item x="295"/>
        <item x="353"/>
        <item x="809"/>
        <item x="28"/>
        <item x="649"/>
        <item x="775"/>
        <item x="792"/>
        <item x="660"/>
        <item x="110"/>
        <item x="847"/>
        <item x="281"/>
        <item x="1017"/>
        <item x="970"/>
        <item x="364"/>
        <item x="943"/>
        <item x="680"/>
        <item x="450"/>
        <item x="571"/>
        <item x="51"/>
        <item x="443"/>
        <item x="532"/>
        <item x="130"/>
        <item x="161"/>
        <item x="695"/>
        <item x="1126"/>
        <item x="647"/>
        <item x="913"/>
        <item x="102"/>
        <item x="480"/>
        <item x="687"/>
        <item x="910"/>
        <item x="1024"/>
        <item x="466"/>
        <item x="1094"/>
        <item x="343"/>
        <item x="298"/>
        <item x="527"/>
        <item x="183"/>
        <item x="239"/>
        <item x="575"/>
        <item x="426"/>
        <item x="435"/>
        <item x="674"/>
        <item x="232"/>
        <item x="522"/>
        <item x="116"/>
        <item x="498"/>
        <item x="683"/>
        <item x="554"/>
        <item x="266"/>
        <item x="83"/>
        <item x="933"/>
        <item x="204"/>
        <item x="993"/>
        <item x="682"/>
        <item x="552"/>
        <item x="213"/>
        <item x="80"/>
        <item x="502"/>
        <item x="833"/>
        <item x="1010"/>
        <item x="570"/>
        <item x="951"/>
        <item x="507"/>
        <item x="479"/>
        <item x="19"/>
        <item x="1044"/>
        <item x="942"/>
        <item x="813"/>
        <item x="727"/>
        <item x="172"/>
        <item x="311"/>
        <item x="372"/>
        <item x="72"/>
        <item x="538"/>
        <item x="762"/>
        <item x="1048"/>
        <item x="874"/>
        <item x="471"/>
        <item x="928"/>
        <item x="545"/>
        <item x="160"/>
        <item x="0"/>
        <item x="163"/>
        <item x="220"/>
        <item x="612"/>
        <item x="904"/>
        <item x="382"/>
        <item x="297"/>
        <item x="637"/>
        <item x="574"/>
        <item x="123"/>
        <item x="865"/>
        <item x="650"/>
        <item x="389"/>
        <item x="581"/>
        <item x="799"/>
        <item x="881"/>
        <item x="536"/>
        <item x="1148"/>
        <item x="381"/>
        <item x="831"/>
        <item x="758"/>
        <item x="835"/>
        <item x="732"/>
        <item x="760"/>
        <item x="455"/>
        <item x="1062"/>
        <item x="133"/>
        <item x="64"/>
        <item x="336"/>
        <item x="1046"/>
        <item x="197"/>
        <item x="1023"/>
        <item x="1154"/>
        <item x="606"/>
        <item x="497"/>
        <item x="1158"/>
        <item x="390"/>
        <item x="179"/>
        <item x="1129"/>
        <item x="71"/>
        <item x="1111"/>
        <item x="486"/>
        <item x="506"/>
        <item x="614"/>
        <item x="510"/>
        <item x="777"/>
        <item x="998"/>
        <item x="253"/>
        <item x="52"/>
        <item x="996"/>
        <item x="821"/>
        <item x="1009"/>
        <item x="675"/>
        <item x="702"/>
        <item x="836"/>
        <item x="971"/>
        <item x="643"/>
        <item x="474"/>
        <item x="1139"/>
        <item x="312"/>
        <item x="282"/>
        <item x="939"/>
        <item x="517"/>
        <item x="562"/>
        <item x="444"/>
        <item x="461"/>
        <item x="749"/>
        <item x="845"/>
        <item x="870"/>
        <item x="546"/>
        <item x="1113"/>
        <item x="85"/>
        <item x="959"/>
        <item x="894"/>
        <item x="178"/>
        <item x="368"/>
        <item x="1091"/>
        <item x="887"/>
        <item x="53"/>
        <item x="81"/>
        <item x="119"/>
        <item x="1030"/>
        <item x="1025"/>
        <item x="225"/>
        <item x="708"/>
        <item x="803"/>
        <item x="991"/>
        <item x="596"/>
        <item x="857"/>
        <item x="1167"/>
        <item x="860"/>
        <item x="467"/>
        <item x="576"/>
        <item x="673"/>
        <item x="109"/>
        <item x="623"/>
        <item x="1090"/>
        <item x="1059"/>
        <item x="339"/>
        <item x="245"/>
        <item x="421"/>
        <item x="655"/>
        <item x="1099"/>
        <item x="1058"/>
        <item x="542"/>
        <item x="654"/>
        <item x="316"/>
        <item x="1107"/>
        <item x="1142"/>
        <item x="338"/>
        <item x="134"/>
        <item x="1109"/>
        <item x="380"/>
        <item x="908"/>
        <item x="1166"/>
        <item x="1038"/>
        <item x="111"/>
        <item x="16"/>
        <item x="289"/>
        <item x="351"/>
        <item x="590"/>
        <item x="5"/>
        <item x="697"/>
        <item x="915"/>
        <item x="621"/>
        <item x="360"/>
        <item x="619"/>
        <item x="76"/>
        <item x="472"/>
        <item x="44"/>
        <item x="839"/>
        <item x="129"/>
        <item x="447"/>
        <item x="567"/>
        <item x="362"/>
        <item x="529"/>
        <item x="459"/>
        <item x="182"/>
        <item x="86"/>
        <item x="485"/>
        <item x="1035"/>
        <item x="1127"/>
        <item x="918"/>
        <item x="1027"/>
        <item x="559"/>
        <item x="789"/>
        <item x="27"/>
        <item x="193"/>
        <item x="87"/>
        <item x="1041"/>
        <item x="553"/>
        <item x="173"/>
        <item x="634"/>
        <item x="58"/>
        <item x="764"/>
        <item x="718"/>
        <item x="194"/>
        <item x="846"/>
        <item x="1155"/>
        <item x="150"/>
        <item x="508"/>
        <item x="230"/>
        <item x="319"/>
        <item x="1121"/>
        <item x="902"/>
        <item x="1074"/>
        <item x="236"/>
        <item x="511"/>
        <item x="871"/>
        <item x="743"/>
        <item x="184"/>
        <item x="672"/>
        <item x="499"/>
        <item x="1110"/>
        <item x="863"/>
        <item x="607"/>
        <item x="774"/>
        <item x="159"/>
        <item x="745"/>
        <item x="899"/>
        <item x="1057"/>
        <item x="585"/>
        <item x="595"/>
        <item x="534"/>
        <item x="67"/>
        <item x="84"/>
        <item x="139"/>
        <item x="407"/>
        <item x="1051"/>
        <item x="1157"/>
        <item x="705"/>
        <item x="733"/>
        <item x="106"/>
        <item x="215"/>
        <item x="387"/>
        <item x="254"/>
        <item x="694"/>
        <item x="844"/>
        <item x="268"/>
        <item x="162"/>
        <item x="1089"/>
        <item x="386"/>
        <item x="1098"/>
        <item x="206"/>
        <item x="600"/>
        <item x="1075"/>
        <item x="247"/>
        <item x="665"/>
        <item x="558"/>
        <item x="445"/>
        <item x="337"/>
        <item x="291"/>
        <item x="271"/>
        <item x="892"/>
        <item x="688"/>
        <item x="376"/>
        <item x="923"/>
        <item x="1036"/>
        <item x="141"/>
        <item x="1043"/>
        <item x="960"/>
        <item x="250"/>
        <item x="140"/>
        <item x="224"/>
        <item x="320"/>
        <item x="348"/>
        <item x="684"/>
        <item x="127"/>
        <item x="1033"/>
        <item x="375"/>
        <item x="767"/>
        <item x="872"/>
        <item x="171"/>
        <item x="350"/>
        <item x="852"/>
        <item x="641"/>
        <item x="941"/>
        <item x="801"/>
        <item x="392"/>
        <item x="379"/>
        <item x="837"/>
        <item x="981"/>
        <item x="953"/>
        <item x="528"/>
        <item x="258"/>
        <item x="174"/>
        <item x="781"/>
        <item x="969"/>
        <item x="886"/>
        <item x="1032"/>
        <item x="737"/>
        <item x="393"/>
        <item x="726"/>
        <item x="318"/>
        <item x="99"/>
        <item x="300"/>
        <item x="916"/>
        <item x="772"/>
        <item x="814"/>
        <item x="1117"/>
        <item x="41"/>
        <item x="79"/>
        <item x="982"/>
        <item x="930"/>
        <item x="648"/>
        <item x="187"/>
        <item x="509"/>
        <item x="1115"/>
        <item x="125"/>
        <item x="465"/>
        <item x="308"/>
        <item x="176"/>
        <item x="795"/>
        <item x="646"/>
        <item x="851"/>
        <item x="525"/>
        <item x="711"/>
        <item x="1116"/>
        <item x="651"/>
        <item x="218"/>
        <item x="210"/>
        <item x="65"/>
        <item x="464"/>
        <item x="867"/>
        <item x="512"/>
        <item x="12"/>
        <item x="987"/>
        <item x="60"/>
        <item x="395"/>
        <item x="994"/>
        <item x="551"/>
        <item x="530"/>
        <item x="565"/>
        <item x="1063"/>
        <item x="1084"/>
        <item x="656"/>
        <item x="212"/>
        <item x="599"/>
        <item x="598"/>
        <item x="437"/>
        <item x="838"/>
        <item x="468"/>
        <item x="658"/>
        <item x="177"/>
        <item x="638"/>
        <item x="937"/>
        <item x="104"/>
        <item x="573"/>
        <item x="1146"/>
        <item x="211"/>
        <item x="782"/>
        <item x="859"/>
        <item x="630"/>
        <item x="493"/>
        <item x="492"/>
        <item x="260"/>
        <item x="974"/>
        <item x="827"/>
        <item x="131"/>
        <item x="427"/>
        <item x="240"/>
        <item x="800"/>
        <item x="812"/>
        <item x="1053"/>
        <item x="361"/>
        <item x="765"/>
        <item x="961"/>
        <item x="369"/>
        <item x="662"/>
        <item x="469"/>
        <item x="700"/>
        <item x="719"/>
        <item x="954"/>
        <item x="826"/>
        <item x="98"/>
        <item x="841"/>
        <item x="94"/>
        <item x="920"/>
        <item x="739"/>
        <item x="723"/>
        <item x="712"/>
        <item x="786"/>
        <item x="305"/>
        <item x="1163"/>
        <item x="495"/>
        <item x="539"/>
        <item x="233"/>
        <item x="633"/>
        <item x="849"/>
        <item x="543"/>
        <item x="893"/>
        <item x="487"/>
        <item x="966"/>
        <item x="691"/>
        <item x="413"/>
        <item x="587"/>
        <item x="663"/>
        <item x="405"/>
        <item x="1130"/>
        <item x="488"/>
        <item x="32"/>
        <item x="639"/>
        <item x="138"/>
        <item x="676"/>
        <item x="519"/>
        <item x="327"/>
        <item x="1144"/>
        <item x="717"/>
        <item x="410"/>
        <item x="978"/>
        <item x="414"/>
        <item x="473"/>
        <item x="279"/>
        <item x="356"/>
        <item x="205"/>
        <item x="938"/>
        <item x="75"/>
        <item x="885"/>
        <item x="411"/>
        <item x="1162"/>
        <item x="1122"/>
        <item x="277"/>
        <item x="462"/>
        <item x="613"/>
        <item x="995"/>
        <item x="823"/>
        <item x="927"/>
        <item x="957"/>
        <item x="1002"/>
        <item x="866"/>
        <item x="843"/>
        <item x="404"/>
        <item x="208"/>
        <item x="1071"/>
        <item x="190"/>
        <item x="365"/>
        <item x="730"/>
        <item x="1079"/>
        <item x="888"/>
        <item x="209"/>
        <item x="1015"/>
        <item x="252"/>
        <item x="725"/>
        <item x="227"/>
        <item x="533"/>
        <item x="1102"/>
        <item x="273"/>
        <item x="577"/>
        <item x="478"/>
        <item x="384"/>
        <item x="815"/>
        <item x="671"/>
        <item x="1120"/>
        <item x="354"/>
        <item x="707"/>
        <item x="290"/>
        <item x="640"/>
        <item x="442"/>
        <item x="3"/>
        <item x="618"/>
        <item x="921"/>
        <item x="925"/>
        <item x="95"/>
        <item x="460"/>
        <item x="1141"/>
        <item x="900"/>
        <item x="592"/>
        <item x="169"/>
        <item x="1085"/>
        <item x="840"/>
        <item x="555"/>
        <item x="759"/>
        <item x="136"/>
        <item x="367"/>
        <item x="1073"/>
        <item x="955"/>
        <item x="274"/>
        <item x="1151"/>
        <item x="341"/>
        <item x="818"/>
        <item x="1092"/>
        <item x="47"/>
        <item x="834"/>
        <item x="912"/>
        <item x="780"/>
        <item x="584"/>
        <item x="992"/>
        <item x="710"/>
        <item x="419"/>
        <item x="906"/>
        <item x="1165"/>
        <item x="418"/>
        <item x="1164"/>
        <item x="755"/>
        <item x="301"/>
        <item x="1088"/>
        <item x="876"/>
        <item x="601"/>
        <item x="690"/>
        <item x="166"/>
        <item x="798"/>
        <item x="425"/>
        <item x="770"/>
        <item x="603"/>
        <item x="158"/>
        <item x="231"/>
        <item x="891"/>
        <item x="1082"/>
        <item x="796"/>
        <item x="593"/>
        <item x="731"/>
        <item x="1026"/>
        <item x="144"/>
        <item x="746"/>
        <item x="988"/>
        <item x="1078"/>
        <item x="1161"/>
        <item x="31"/>
        <item x="873"/>
        <item x="66"/>
        <item x="433"/>
        <item x="48"/>
        <item x="965"/>
        <item x="417"/>
        <item x="185"/>
        <item x="864"/>
        <item x="255"/>
        <item x="202"/>
        <item x="148"/>
        <item x="7"/>
        <item x="956"/>
        <item x="400"/>
        <item x="1050"/>
        <item x="430"/>
        <item x="794"/>
        <item x="157"/>
        <item x="276"/>
        <item x="1011"/>
        <item x="922"/>
        <item x="610"/>
        <item x="1135"/>
        <item x="608"/>
        <item x="950"/>
        <item x="948"/>
        <item x="635"/>
        <item x="408"/>
        <item x="653"/>
        <item x="776"/>
        <item x="750"/>
        <item x="862"/>
        <item x="699"/>
        <item x="74"/>
        <item x="1169"/>
        <item x="751"/>
        <item x="1118"/>
        <item x="967"/>
        <item x="207"/>
        <item x="146"/>
        <item x="569"/>
        <item x="822"/>
        <item x="342"/>
        <item x="563"/>
        <item x="518"/>
        <item x="496"/>
        <item x="963"/>
        <item x="766"/>
        <item x="524"/>
        <item x="706"/>
        <item x="1137"/>
        <item x="214"/>
        <item x="97"/>
        <item x="861"/>
        <item x="990"/>
        <item x="358"/>
        <item x="1128"/>
        <item x="890"/>
        <item x="704"/>
        <item x="299"/>
        <item x="501"/>
        <item x="819"/>
        <item x="56"/>
        <item x="917"/>
        <item x="223"/>
        <item x="1145"/>
        <item x="1097"/>
        <item x="156"/>
        <item x="669"/>
        <item x="644"/>
        <item x="1112"/>
        <item x="625"/>
        <item x="526"/>
        <item x="1005"/>
        <item x="192"/>
        <item x="997"/>
        <item x="875"/>
        <item x="548"/>
        <item x="579"/>
        <item x="869"/>
        <item x="549"/>
        <item x="244"/>
        <item x="756"/>
        <item x="155"/>
        <item x="564"/>
        <item x="1132"/>
        <item x="37"/>
        <item x="137"/>
        <item x="306"/>
        <item x="1007"/>
        <item x="377"/>
        <item x="481"/>
        <item x="769"/>
        <item x="692"/>
        <item x="816"/>
        <item x="1153"/>
        <item x="229"/>
        <item x="597"/>
        <item x="500"/>
        <item x="936"/>
        <item x="117"/>
        <item x="802"/>
        <item x="126"/>
        <item x="544"/>
        <item x="402"/>
        <item x="432"/>
        <item x="145"/>
        <item x="265"/>
        <item x="661"/>
        <item x="877"/>
        <item x="932"/>
        <item x="583"/>
        <item x="1029"/>
        <item x="540"/>
        <item x="689"/>
        <item x="744"/>
        <item x="1096"/>
        <item x="270"/>
        <item x="1134"/>
        <item x="929"/>
        <item x="189"/>
        <item x="454"/>
        <item x="196"/>
        <item x="561"/>
        <item x="446"/>
        <item x="29"/>
        <item x="275"/>
        <item x="713"/>
        <item x="747"/>
        <item x="609"/>
        <item x="1093"/>
        <item x="1105"/>
        <item x="482"/>
        <item x="118"/>
        <item x="238"/>
        <item x="1064"/>
        <item x="1012"/>
        <item x="92"/>
        <item x="149"/>
        <item x="105"/>
        <item x="703"/>
        <item x="378"/>
        <item x="668"/>
        <item x="611"/>
        <item x="701"/>
        <item x="167"/>
        <item x="13"/>
        <item x="103"/>
        <item x="698"/>
        <item x="340"/>
        <item x="521"/>
        <item x="738"/>
        <item x="858"/>
        <item x="1016"/>
        <item x="1001"/>
        <item x="1049"/>
        <item x="470"/>
        <item x="328"/>
        <item x="1140"/>
        <item x="90"/>
        <item x="170"/>
        <item x="811"/>
        <item x="1083"/>
        <item x="709"/>
        <item x="832"/>
        <item x="1008"/>
        <item x="154"/>
        <item x="636"/>
        <item x="1080"/>
        <item x="898"/>
        <item x="345"/>
        <item x="889"/>
        <item x="374"/>
        <item x="458"/>
        <item x="505"/>
        <item x="976"/>
        <item x="1095"/>
        <item x="808"/>
        <item x="434"/>
        <item x="477"/>
        <item x="568"/>
        <item x="972"/>
        <item x="884"/>
        <item x="622"/>
        <item x="287"/>
        <item x="1019"/>
        <item x="35"/>
        <item x="1067"/>
        <item x="805"/>
        <item x="494"/>
        <item x="572"/>
        <item x="257"/>
        <item x="945"/>
        <item x="1055"/>
        <item x="1152"/>
        <item x="670"/>
        <item x="18"/>
        <item x="323"/>
        <item x="1100"/>
        <item x="440"/>
        <item x="964"/>
        <item x="142"/>
        <item x="791"/>
        <item x="26"/>
        <item x="1028"/>
        <item x="107"/>
        <item x="806"/>
        <item x="909"/>
        <item x="989"/>
        <item x="940"/>
        <item x="1104"/>
        <item x="547"/>
        <item x="4"/>
        <item x="901"/>
        <item x="659"/>
        <item x="962"/>
        <item x="797"/>
        <item x="303"/>
        <item x="371"/>
        <item x="785"/>
        <item x="934"/>
        <item x="1147"/>
        <item x="788"/>
        <item x="307"/>
        <item x="535"/>
        <item x="398"/>
        <item x="714"/>
        <item x="924"/>
        <item x="283"/>
        <item x="919"/>
        <item x="1081"/>
        <item x="720"/>
        <item x="848"/>
        <item x="1014"/>
        <item x="235"/>
        <item x="1123"/>
        <item x="693"/>
        <item x="741"/>
        <item x="1119"/>
        <item x="735"/>
        <item x="43"/>
        <item x="100"/>
        <item x="428"/>
        <item x="983"/>
        <item x="357"/>
        <item x="456"/>
        <item x="907"/>
        <item x="947"/>
        <item x="645"/>
        <item x="804"/>
        <item x="491"/>
        <item x="667"/>
        <item x="1087"/>
        <item x="278"/>
        <item x="315"/>
        <item x="748"/>
        <item x="322"/>
        <item x="14"/>
        <item x="896"/>
        <item x="132"/>
        <item x="1040"/>
        <item x="828"/>
        <item x="33"/>
        <item x="1037"/>
        <item x="854"/>
        <item x="944"/>
        <item x="403"/>
        <item x="905"/>
        <item x="63"/>
        <item x="829"/>
        <item x="503"/>
        <item x="1022"/>
        <item x="973"/>
        <item x="722"/>
        <item x="1069"/>
        <item x="817"/>
        <item x="359"/>
        <item x="449"/>
        <item x="489"/>
        <item x="753"/>
        <item x="754"/>
        <item x="514"/>
        <item x="352"/>
        <item x="968"/>
        <item x="285"/>
        <item x="793"/>
        <item x="286"/>
        <item x="1045"/>
        <item x="452"/>
        <item x="1003"/>
        <item x="513"/>
        <item x="977"/>
        <item x="627"/>
        <item x="679"/>
        <item x="985"/>
        <item x="1156"/>
        <item x="880"/>
        <item x="113"/>
        <item x="1108"/>
        <item x="1052"/>
        <item x="152"/>
        <item x="1021"/>
        <item x="151"/>
        <item x="550"/>
        <item x="346"/>
        <item x="605"/>
        <item x="537"/>
        <item x="946"/>
        <item x="1101"/>
        <item x="1000"/>
        <item x="397"/>
        <item x="729"/>
        <item x="825"/>
        <item x="330"/>
        <item x="773"/>
        <item x="1168"/>
        <item x="778"/>
        <item x="784"/>
        <item x="484"/>
        <item x="1070"/>
        <item x="1047"/>
        <item x="228"/>
        <item x="292"/>
        <item x="188"/>
        <item x="355"/>
        <item x="728"/>
        <item x="325"/>
        <item x="175"/>
        <item x="115"/>
        <item x="309"/>
        <item x="582"/>
        <item x="999"/>
        <item x="882"/>
        <item x="624"/>
        <item x="420"/>
        <item x="678"/>
        <item x="868"/>
        <item x="926"/>
        <item x="317"/>
        <item x="329"/>
        <item x="578"/>
        <item x="685"/>
        <item x="261"/>
        <item x="716"/>
        <item x="242"/>
        <item x="1042"/>
        <item x="984"/>
        <item x="979"/>
        <item x="761"/>
        <item x="629"/>
        <item x="696"/>
        <item x="1131"/>
        <item x="771"/>
        <item x="1020"/>
        <item x="566"/>
        <item x="1106"/>
        <item x="391"/>
        <item x="594"/>
        <item x="448"/>
        <item x="221"/>
        <item x="631"/>
        <item x="557"/>
        <item x="1136"/>
        <item x="878"/>
        <item x="752"/>
        <item x="453"/>
        <item x="370"/>
        <item x="949"/>
        <item x="580"/>
        <item x="2"/>
        <item x="1004"/>
        <item x="531"/>
        <item x="1138"/>
        <item x="820"/>
        <item x="88"/>
        <item x="588"/>
        <item x="736"/>
        <item x="1133"/>
        <item x="855"/>
        <item x="251"/>
        <item x="853"/>
        <item x="842"/>
        <item x="1076"/>
        <item x="1013"/>
        <item x="681"/>
        <item x="441"/>
        <item x="935"/>
        <item x="128"/>
        <item x="1060"/>
        <item x="1039"/>
        <item x="757"/>
        <item x="897"/>
        <item x="1072"/>
        <item x="1077"/>
        <item x="615"/>
        <item x="520"/>
        <item x="143"/>
        <item x="199"/>
        <item x="790"/>
        <item x="721"/>
        <item x="1006"/>
        <item x="1054"/>
        <item x="560"/>
        <item x="1086"/>
        <item x="632"/>
        <item x="856"/>
        <item x="186"/>
        <item x="120"/>
        <item x="620"/>
        <item x="1103"/>
        <item x="296"/>
        <item x="895"/>
        <item x="1031"/>
        <item x="49"/>
        <item x="850"/>
        <item x="1125"/>
        <item x="810"/>
        <item x="476"/>
        <item x="768"/>
        <item x="1066"/>
        <item x="657"/>
        <item t="default"/>
      </items>
    </pivotField>
    <pivotField dataField="1" showAll="0">
      <items count="886">
        <item x="44"/>
        <item x="1"/>
        <item x="19"/>
        <item x="25"/>
        <item x="2"/>
        <item x="9"/>
        <item x="37"/>
        <item x="30"/>
        <item x="43"/>
        <item x="128"/>
        <item x="85"/>
        <item x="242"/>
        <item x="14"/>
        <item x="53"/>
        <item x="197"/>
        <item x="247"/>
        <item x="22"/>
        <item x="127"/>
        <item x="163"/>
        <item x="170"/>
        <item x="130"/>
        <item x="166"/>
        <item x="52"/>
        <item x="215"/>
        <item x="49"/>
        <item x="36"/>
        <item x="145"/>
        <item x="82"/>
        <item x="24"/>
        <item x="38"/>
        <item x="252"/>
        <item x="289"/>
        <item x="309"/>
        <item x="46"/>
        <item x="213"/>
        <item x="16"/>
        <item x="64"/>
        <item x="315"/>
        <item x="93"/>
        <item x="6"/>
        <item x="394"/>
        <item x="333"/>
        <item x="519"/>
        <item x="246"/>
        <item x="771"/>
        <item x="123"/>
        <item x="8"/>
        <item x="23"/>
        <item x="144"/>
        <item x="631"/>
        <item x="177"/>
        <item x="440"/>
        <item x="481"/>
        <item x="95"/>
        <item x="551"/>
        <item x="283"/>
        <item x="73"/>
        <item x="67"/>
        <item x="208"/>
        <item x="265"/>
        <item x="236"/>
        <item x="109"/>
        <item x="254"/>
        <item x="660"/>
        <item x="133"/>
        <item x="842"/>
        <item x="232"/>
        <item x="99"/>
        <item x="301"/>
        <item x="21"/>
        <item x="140"/>
        <item x="241"/>
        <item x="426"/>
        <item x="63"/>
        <item x="879"/>
        <item x="324"/>
        <item x="12"/>
        <item x="10"/>
        <item x="178"/>
        <item x="249"/>
        <item x="281"/>
        <item x="77"/>
        <item x="558"/>
        <item x="407"/>
        <item x="142"/>
        <item x="320"/>
        <item x="745"/>
        <item x="520"/>
        <item x="39"/>
        <item x="311"/>
        <item x="352"/>
        <item x="734"/>
        <item x="271"/>
        <item x="41"/>
        <item x="260"/>
        <item x="231"/>
        <item x="472"/>
        <item x="226"/>
        <item x="206"/>
        <item x="259"/>
        <item x="381"/>
        <item x="870"/>
        <item x="752"/>
        <item x="293"/>
        <item x="314"/>
        <item x="323"/>
        <item x="718"/>
        <item x="62"/>
        <item x="658"/>
        <item x="45"/>
        <item x="20"/>
        <item x="34"/>
        <item x="560"/>
        <item x="198"/>
        <item x="273"/>
        <item x="662"/>
        <item x="704"/>
        <item x="435"/>
        <item x="88"/>
        <item x="599"/>
        <item x="553"/>
        <item x="376"/>
        <item x="405"/>
        <item x="596"/>
        <item x="199"/>
        <item x="789"/>
        <item x="505"/>
        <item x="762"/>
        <item x="500"/>
        <item x="160"/>
        <item x="55"/>
        <item x="768"/>
        <item x="369"/>
        <item x="307"/>
        <item x="487"/>
        <item x="345"/>
        <item x="223"/>
        <item x="0"/>
        <item x="480"/>
        <item x="455"/>
        <item x="180"/>
        <item x="483"/>
        <item x="584"/>
        <item x="765"/>
        <item x="79"/>
        <item x="152"/>
        <item x="373"/>
        <item x="191"/>
        <item x="97"/>
        <item x="677"/>
        <item x="790"/>
        <item x="530"/>
        <item x="339"/>
        <item x="341"/>
        <item x="778"/>
        <item x="83"/>
        <item x="327"/>
        <item x="188"/>
        <item x="165"/>
        <item x="209"/>
        <item x="269"/>
        <item x="799"/>
        <item x="219"/>
        <item x="549"/>
        <item x="151"/>
        <item x="805"/>
        <item x="342"/>
        <item x="362"/>
        <item x="360"/>
        <item x="335"/>
        <item x="770"/>
        <item x="683"/>
        <item x="383"/>
        <item x="203"/>
        <item x="328"/>
        <item x="389"/>
        <item x="568"/>
        <item x="106"/>
        <item x="107"/>
        <item x="666"/>
        <item x="772"/>
        <item x="605"/>
        <item x="796"/>
        <item x="866"/>
        <item x="509"/>
        <item x="258"/>
        <item x="233"/>
        <item x="616"/>
        <item x="28"/>
        <item x="591"/>
        <item x="661"/>
        <item x="515"/>
        <item x="465"/>
        <item x="220"/>
        <item x="761"/>
        <item x="433"/>
        <item x="292"/>
        <item x="711"/>
        <item x="430"/>
        <item x="353"/>
        <item x="448"/>
        <item x="537"/>
        <item x="416"/>
        <item x="115"/>
        <item x="138"/>
        <item x="538"/>
        <item x="238"/>
        <item x="853"/>
        <item x="454"/>
        <item x="503"/>
        <item x="466"/>
        <item x="686"/>
        <item x="89"/>
        <item x="240"/>
        <item x="442"/>
        <item x="422"/>
        <item x="299"/>
        <item x="527"/>
        <item x="264"/>
        <item x="234"/>
        <item x="697"/>
        <item x="413"/>
        <item x="154"/>
        <item x="193"/>
        <item x="451"/>
        <item x="330"/>
        <item x="338"/>
        <item x="526"/>
        <item x="186"/>
        <item x="410"/>
        <item x="103"/>
        <item x="403"/>
        <item x="406"/>
        <item x="368"/>
        <item x="356"/>
        <item x="644"/>
        <item x="74"/>
        <item x="705"/>
        <item x="135"/>
        <item x="858"/>
        <item x="174"/>
        <item x="71"/>
        <item x="392"/>
        <item x="691"/>
        <item x="700"/>
        <item x="585"/>
        <item x="468"/>
        <item x="285"/>
        <item x="717"/>
        <item x="397"/>
        <item x="18"/>
        <item x="783"/>
        <item x="619"/>
        <item x="562"/>
        <item x="146"/>
        <item x="239"/>
        <item x="287"/>
        <item x="66"/>
        <item x="656"/>
        <item x="15"/>
        <item x="701"/>
        <item x="878"/>
        <item x="428"/>
        <item x="137"/>
        <item x="784"/>
        <item x="815"/>
        <item x="452"/>
        <item x="179"/>
        <item x="477"/>
        <item x="678"/>
        <item x="493"/>
        <item x="3"/>
        <item x="108"/>
        <item x="507"/>
        <item x="303"/>
        <item x="474"/>
        <item x="861"/>
        <item x="348"/>
        <item x="227"/>
        <item x="421"/>
        <item x="869"/>
        <item x="298"/>
        <item x="105"/>
        <item x="635"/>
        <item x="98"/>
        <item x="583"/>
        <item x="637"/>
        <item x="565"/>
        <item x="153"/>
        <item x="800"/>
        <item x="118"/>
        <item x="59"/>
        <item x="261"/>
        <item x="786"/>
        <item x="556"/>
        <item x="698"/>
        <item x="624"/>
        <item x="874"/>
        <item x="388"/>
        <item x="877"/>
        <item x="304"/>
        <item x="245"/>
        <item x="300"/>
        <item x="855"/>
        <item x="65"/>
        <item x="839"/>
        <item x="379"/>
        <item x="396"/>
        <item x="399"/>
        <item x="56"/>
        <item x="593"/>
        <item x="69"/>
        <item x="827"/>
        <item x="657"/>
        <item x="50"/>
        <item x="749"/>
        <item x="626"/>
        <item x="756"/>
        <item x="542"/>
        <item x="638"/>
        <item x="730"/>
        <item x="498"/>
        <item x="763"/>
        <item x="104"/>
        <item x="201"/>
        <item x="539"/>
        <item x="27"/>
        <item x="651"/>
        <item x="347"/>
        <item x="415"/>
        <item x="11"/>
        <item x="574"/>
        <item x="288"/>
        <item x="841"/>
        <item x="76"/>
        <item x="672"/>
        <item x="150"/>
        <item x="820"/>
        <item x="668"/>
        <item x="51"/>
        <item x="132"/>
        <item x="72"/>
        <item x="581"/>
        <item x="566"/>
        <item x="182"/>
        <item x="532"/>
        <item x="531"/>
        <item x="743"/>
        <item x="590"/>
        <item x="655"/>
        <item x="492"/>
        <item x="690"/>
        <item x="650"/>
        <item x="773"/>
        <item x="607"/>
        <item x="257"/>
        <item x="96"/>
        <item x="441"/>
        <item x="414"/>
        <item x="819"/>
        <item x="729"/>
        <item x="506"/>
        <item x="196"/>
        <item x="291"/>
        <item x="826"/>
        <item x="709"/>
        <item x="511"/>
        <item x="244"/>
        <item x="716"/>
        <item x="835"/>
        <item x="268"/>
        <item x="308"/>
        <item x="836"/>
        <item x="211"/>
        <item x="297"/>
        <item x="682"/>
        <item x="882"/>
        <item x="75"/>
        <item x="460"/>
        <item x="5"/>
        <item x="687"/>
        <item x="484"/>
        <item x="278"/>
        <item x="217"/>
        <item x="366"/>
        <item x="640"/>
        <item x="114"/>
        <item x="350"/>
        <item x="401"/>
        <item x="280"/>
        <item x="781"/>
        <item x="378"/>
        <item x="854"/>
        <item x="838"/>
        <item x="754"/>
        <item x="437"/>
        <item x="567"/>
        <item x="262"/>
        <item x="779"/>
        <item x="832"/>
        <item x="147"/>
        <item x="367"/>
        <item x="681"/>
        <item x="665"/>
        <item x="555"/>
        <item x="689"/>
        <item x="417"/>
        <item x="699"/>
        <item x="398"/>
        <item x="184"/>
        <item x="883"/>
        <item x="802"/>
        <item x="808"/>
        <item x="190"/>
        <item x="400"/>
        <item x="155"/>
        <item x="525"/>
        <item x="613"/>
        <item x="390"/>
        <item x="595"/>
        <item x="608"/>
        <item x="473"/>
        <item x="694"/>
        <item x="92"/>
        <item x="833"/>
        <item x="572"/>
        <item x="458"/>
        <item x="464"/>
        <item x="418"/>
        <item x="409"/>
        <item x="87"/>
        <item x="122"/>
        <item x="876"/>
        <item x="544"/>
        <item x="176"/>
        <item x="302"/>
        <item x="277"/>
        <item x="747"/>
        <item x="139"/>
        <item x="864"/>
        <item x="129"/>
        <item x="512"/>
        <item x="825"/>
        <item x="168"/>
        <item x="194"/>
        <item x="469"/>
        <item x="70"/>
        <item x="436"/>
        <item x="229"/>
        <item x="671"/>
        <item x="713"/>
        <item x="693"/>
        <item x="774"/>
        <item x="125"/>
        <item x="793"/>
        <item x="187"/>
        <item x="782"/>
        <item x="723"/>
        <item x="200"/>
        <item x="124"/>
        <item x="181"/>
        <item x="248"/>
        <item x="569"/>
        <item x="113"/>
        <item x="207"/>
        <item x="270"/>
        <item x="490"/>
        <item x="710"/>
        <item x="610"/>
        <item x="306"/>
        <item x="296"/>
        <item x="183"/>
        <item x="719"/>
        <item x="205"/>
        <item x="148"/>
        <item x="667"/>
        <item x="780"/>
        <item x="561"/>
        <item x="633"/>
        <item x="629"/>
        <item x="86"/>
        <item x="534"/>
        <item x="620"/>
        <item x="846"/>
        <item x="40"/>
        <item x="738"/>
        <item x="703"/>
        <item x="504"/>
        <item x="361"/>
        <item x="843"/>
        <item x="111"/>
        <item x="364"/>
        <item x="149"/>
        <item x="502"/>
        <item x="411"/>
        <item x="541"/>
        <item x="548"/>
        <item x="844"/>
        <item x="508"/>
        <item x="579"/>
        <item x="172"/>
        <item x="60"/>
        <item x="363"/>
        <item x="554"/>
        <item x="741"/>
        <item x="57"/>
        <item x="310"/>
        <item x="744"/>
        <item x="432"/>
        <item x="801"/>
        <item x="814"/>
        <item x="173"/>
        <item x="856"/>
        <item x="467"/>
        <item x="340"/>
        <item x="639"/>
        <item x="365"/>
        <item x="514"/>
        <item x="759"/>
        <item x="346"/>
        <item x="494"/>
        <item x="706"/>
        <item x="91"/>
        <item x="450"/>
        <item x="798"/>
        <item x="459"/>
        <item x="868"/>
        <item x="684"/>
        <item x="837"/>
        <item x="496"/>
        <item x="384"/>
        <item x="797"/>
        <item x="632"/>
        <item x="116"/>
        <item x="331"/>
        <item x="461"/>
        <item x="609"/>
        <item x="618"/>
        <item x="453"/>
        <item x="517"/>
        <item x="862"/>
        <item x="545"/>
        <item x="720"/>
        <item x="630"/>
        <item x="294"/>
        <item x="642"/>
        <item x="81"/>
        <item x="563"/>
        <item x="457"/>
        <item x="598"/>
        <item x="696"/>
        <item x="669"/>
        <item x="645"/>
        <item x="386"/>
        <item x="423"/>
        <item x="646"/>
        <item x="807"/>
        <item x="427"/>
        <item x="380"/>
        <item x="727"/>
        <item x="535"/>
        <item x="321"/>
        <item x="834"/>
        <item x="518"/>
        <item x="317"/>
        <item x="32"/>
        <item x="495"/>
        <item x="121"/>
        <item x="528"/>
        <item x="775"/>
        <item x="255"/>
        <item x="216"/>
        <item x="867"/>
        <item x="318"/>
        <item x="737"/>
        <item x="824"/>
        <item x="322"/>
        <item x="564"/>
        <item x="275"/>
        <item x="447"/>
        <item x="167"/>
        <item x="707"/>
        <item x="68"/>
        <item x="664"/>
        <item x="319"/>
        <item x="880"/>
        <item x="849"/>
        <item x="218"/>
        <item x="478"/>
        <item x="748"/>
        <item x="628"/>
        <item x="722"/>
        <item x="751"/>
        <item x="654"/>
        <item x="643"/>
        <item x="171"/>
        <item x="159"/>
        <item x="282"/>
        <item x="845"/>
        <item x="810"/>
        <item x="156"/>
        <item x="420"/>
        <item x="830"/>
        <item x="214"/>
        <item x="372"/>
        <item x="621"/>
        <item x="274"/>
        <item x="228"/>
        <item x="497"/>
        <item x="102"/>
        <item x="482"/>
        <item x="692"/>
        <item x="359"/>
        <item x="865"/>
        <item x="746"/>
        <item x="675"/>
        <item x="143"/>
        <item x="816"/>
        <item x="641"/>
        <item x="434"/>
        <item x="725"/>
        <item x="119"/>
        <item x="284"/>
        <item x="84"/>
        <item x="715"/>
        <item x="408"/>
        <item x="871"/>
        <item x="212"/>
        <item x="821"/>
        <item x="47"/>
        <item x="636"/>
        <item x="685"/>
        <item x="594"/>
        <item x="547"/>
        <item x="326"/>
        <item x="680"/>
        <item x="881"/>
        <item x="325"/>
        <item x="580"/>
        <item x="688"/>
        <item x="134"/>
        <item x="470"/>
        <item x="141"/>
        <item x="329"/>
        <item x="588"/>
        <item x="471"/>
        <item x="136"/>
        <item x="185"/>
        <item x="462"/>
        <item x="733"/>
        <item x="463"/>
        <item x="742"/>
        <item x="809"/>
        <item x="625"/>
        <item x="31"/>
        <item x="61"/>
        <item x="195"/>
        <item x="126"/>
        <item x="48"/>
        <item x="653"/>
        <item x="202"/>
        <item x="164"/>
        <item x="29"/>
        <item x="112"/>
        <item x="131"/>
        <item x="852"/>
        <item x="7"/>
        <item x="721"/>
        <item x="791"/>
        <item x="334"/>
        <item x="604"/>
        <item x="622"/>
        <item x="757"/>
        <item x="822"/>
        <item x="611"/>
        <item x="475"/>
        <item x="571"/>
        <item x="375"/>
        <item x="663"/>
        <item x="510"/>
        <item x="592"/>
        <item x="575"/>
        <item x="652"/>
        <item x="349"/>
        <item x="80"/>
        <item x="35"/>
        <item x="847"/>
        <item x="169"/>
        <item x="279"/>
        <item x="162"/>
        <item x="627"/>
        <item x="443"/>
        <item x="387"/>
        <item x="175"/>
        <item x="794"/>
        <item x="851"/>
        <item x="766"/>
        <item x="573"/>
        <item x="54"/>
        <item x="649"/>
        <item x="516"/>
        <item x="439"/>
        <item x="523"/>
        <item x="499"/>
        <item x="395"/>
        <item x="840"/>
        <item x="412"/>
        <item x="777"/>
        <item x="161"/>
        <item x="521"/>
        <item x="431"/>
        <item x="582"/>
        <item x="444"/>
        <item x="204"/>
        <item x="120"/>
        <item x="714"/>
        <item x="374"/>
        <item x="587"/>
        <item x="546"/>
        <item x="873"/>
        <item x="540"/>
        <item x="391"/>
        <item x="674"/>
        <item x="731"/>
        <item x="336"/>
        <item x="210"/>
        <item x="767"/>
        <item x="424"/>
        <item x="533"/>
        <item x="859"/>
        <item x="479"/>
        <item x="702"/>
        <item x="735"/>
        <item x="355"/>
        <item x="425"/>
        <item x="550"/>
        <item x="476"/>
        <item x="192"/>
        <item x="110"/>
        <item x="543"/>
        <item x="295"/>
        <item x="522"/>
        <item x="371"/>
        <item x="90"/>
        <item x="263"/>
        <item x="760"/>
        <item x="313"/>
        <item x="750"/>
        <item x="788"/>
        <item x="256"/>
        <item x="863"/>
        <item x="78"/>
        <item x="597"/>
        <item x="617"/>
        <item x="813"/>
        <item x="755"/>
        <item x="811"/>
        <item x="266"/>
        <item x="670"/>
        <item x="290"/>
        <item x="358"/>
        <item x="26"/>
        <item x="875"/>
        <item x="823"/>
        <item x="615"/>
        <item x="272"/>
        <item x="337"/>
        <item x="446"/>
        <item x="221"/>
        <item x="485"/>
        <item x="225"/>
        <item x="804"/>
        <item x="612"/>
        <item x="385"/>
        <item x="449"/>
        <item x="795"/>
        <item x="872"/>
        <item x="536"/>
        <item x="524"/>
        <item x="732"/>
        <item x="17"/>
        <item x="251"/>
        <item x="785"/>
        <item x="828"/>
        <item x="489"/>
        <item x="343"/>
        <item x="726"/>
        <item x="602"/>
        <item x="286"/>
        <item x="94"/>
        <item x="614"/>
        <item x="708"/>
        <item x="831"/>
        <item x="429"/>
        <item x="4"/>
        <item x="676"/>
        <item x="724"/>
        <item x="606"/>
        <item x="235"/>
        <item x="600"/>
        <item x="237"/>
        <item x="419"/>
        <item x="552"/>
        <item x="695"/>
        <item x="728"/>
        <item x="589"/>
        <item x="812"/>
        <item x="557"/>
        <item x="222"/>
        <item x="758"/>
        <item x="189"/>
        <item x="850"/>
        <item x="438"/>
        <item x="570"/>
        <item x="848"/>
        <item x="42"/>
        <item x="332"/>
        <item x="739"/>
        <item x="402"/>
        <item x="601"/>
        <item x="276"/>
        <item x="357"/>
        <item x="101"/>
        <item x="501"/>
        <item x="712"/>
        <item x="382"/>
        <item x="818"/>
        <item x="243"/>
        <item x="250"/>
        <item x="13"/>
        <item x="673"/>
        <item x="117"/>
        <item x="33"/>
        <item x="776"/>
        <item x="647"/>
        <item x="316"/>
        <item x="679"/>
        <item x="58"/>
        <item x="634"/>
        <item x="393"/>
        <item x="764"/>
        <item x="559"/>
        <item x="806"/>
        <item x="623"/>
        <item x="351"/>
        <item x="577"/>
        <item x="578"/>
        <item x="404"/>
        <item x="230"/>
        <item x="312"/>
        <item x="603"/>
        <item x="224"/>
        <item x="253"/>
        <item x="354"/>
        <item x="753"/>
        <item x="736"/>
        <item x="488"/>
        <item x="529"/>
        <item x="740"/>
        <item x="158"/>
        <item x="659"/>
        <item x="100"/>
        <item x="792"/>
        <item x="267"/>
        <item x="829"/>
        <item x="576"/>
        <item x="648"/>
        <item x="157"/>
        <item x="884"/>
        <item x="377"/>
        <item x="787"/>
        <item x="456"/>
        <item x="486"/>
        <item x="857"/>
        <item x="445"/>
        <item x="305"/>
        <item x="491"/>
        <item x="860"/>
        <item x="370"/>
        <item x="344"/>
        <item x="513"/>
        <item x="586"/>
        <item x="817"/>
        <item x="769"/>
        <item x="803"/>
        <item t="default"/>
      </items>
    </pivotField>
    <pivotField showAll="0"/>
  </pivotFields>
  <rowFields count="1">
    <field x="1"/>
  </rowFields>
  <rowItems count="21">
    <i>
      <x v="24"/>
    </i>
    <i>
      <x v="154"/>
    </i>
    <i>
      <x v="74"/>
    </i>
    <i>
      <x v="3"/>
    </i>
    <i>
      <x v="150"/>
    </i>
    <i>
      <x v="85"/>
    </i>
    <i>
      <x v="156"/>
    </i>
    <i>
      <x v="147"/>
    </i>
    <i>
      <x v="93"/>
    </i>
    <i>
      <x v="25"/>
    </i>
    <i>
      <x v="21"/>
    </i>
    <i>
      <x v="7"/>
    </i>
    <i>
      <x v="62"/>
    </i>
    <i>
      <x v="57"/>
    </i>
    <i>
      <x v="139"/>
    </i>
    <i>
      <x v="47"/>
    </i>
    <i>
      <x v="54"/>
    </i>
    <i>
      <x v="73"/>
    </i>
    <i>
      <x v="79"/>
    </i>
    <i>
      <x v="137"/>
    </i>
    <i t="grand">
      <x/>
    </i>
  </rowItems>
  <colFields count="1">
    <field x="2"/>
  </colFields>
  <colItems count="3">
    <i>
      <x/>
    </i>
    <i>
      <x v="1"/>
    </i>
    <i t="grand">
      <x/>
    </i>
  </colItems>
  <dataFields count="1">
    <dataField name="Sum of num_starts" fld="4" showDataAs="percentOfCol" baseField="0" baseItem="0" numFmtId="10"/>
  </dataFields>
  <chartFormats count="2"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20" filterVal="2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65C7EB-A47C-1241-B2FE-56984E536E56}" name="PivotTable20" cacheId="14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J174" firstHeaderRow="1" firstDataRow="3" firstDataCol="1"/>
  <pivotFields count="6">
    <pivotField showAll="0"/>
    <pivotField axis="axisRow" showAll="0">
      <items count="169">
        <item x="150"/>
        <item x="117"/>
        <item x="42"/>
        <item x="75"/>
        <item x="64"/>
        <item x="144"/>
        <item x="125"/>
        <item x="26"/>
        <item x="32"/>
        <item x="87"/>
        <item x="37"/>
        <item x="62"/>
        <item x="116"/>
        <item x="94"/>
        <item x="122"/>
        <item x="23"/>
        <item x="148"/>
        <item x="126"/>
        <item x="145"/>
        <item x="140"/>
        <item x="3"/>
        <item x="8"/>
        <item x="10"/>
        <item x="113"/>
        <item x="0"/>
        <item x="33"/>
        <item x="112"/>
        <item x="43"/>
        <item x="28"/>
        <item x="19"/>
        <item x="11"/>
        <item x="81"/>
        <item x="135"/>
        <item x="27"/>
        <item x="77"/>
        <item x="123"/>
        <item x="66"/>
        <item x="157"/>
        <item x="54"/>
        <item x="12"/>
        <item x="13"/>
        <item x="41"/>
        <item x="49"/>
        <item x="142"/>
        <item x="147"/>
        <item x="44"/>
        <item x="153"/>
        <item x="30"/>
        <item x="50"/>
        <item x="9"/>
        <item x="17"/>
        <item x="65"/>
        <item x="20"/>
        <item x="167"/>
        <item x="31"/>
        <item x="59"/>
        <item x="92"/>
        <item x="101"/>
        <item x="36"/>
        <item x="90"/>
        <item x="149"/>
        <item x="146"/>
        <item x="69"/>
        <item x="55"/>
        <item x="151"/>
        <item x="70"/>
        <item x="72"/>
        <item x="111"/>
        <item x="84"/>
        <item x="4"/>
        <item x="45"/>
        <item x="137"/>
        <item x="88"/>
        <item x="57"/>
        <item x="61"/>
        <item x="67"/>
        <item x="78"/>
        <item x="95"/>
        <item x="119"/>
        <item x="109"/>
        <item x="51"/>
        <item x="58"/>
        <item x="89"/>
        <item x="110"/>
        <item x="155"/>
        <item x="5"/>
        <item x="121"/>
        <item x="15"/>
        <item x="63"/>
        <item x="115"/>
        <item x="82"/>
        <item x="24"/>
        <item x="132"/>
        <item x="93"/>
        <item x="105"/>
        <item x="79"/>
        <item x="133"/>
        <item x="73"/>
        <item x="18"/>
        <item x="138"/>
        <item x="159"/>
        <item x="106"/>
        <item x="52"/>
        <item x="29"/>
        <item x="162"/>
        <item x="46"/>
        <item x="127"/>
        <item x="85"/>
        <item x="114"/>
        <item x="120"/>
        <item x="21"/>
        <item x="98"/>
        <item x="99"/>
        <item x="68"/>
        <item x="141"/>
        <item x="130"/>
        <item x="35"/>
        <item x="1"/>
        <item x="96"/>
        <item x="165"/>
        <item x="161"/>
        <item x="131"/>
        <item x="80"/>
        <item x="160"/>
        <item x="163"/>
        <item x="136"/>
        <item x="56"/>
        <item x="102"/>
        <item x="166"/>
        <item x="39"/>
        <item x="134"/>
        <item x="152"/>
        <item x="25"/>
        <item x="128"/>
        <item x="53"/>
        <item x="107"/>
        <item x="164"/>
        <item x="71"/>
        <item x="76"/>
        <item x="97"/>
        <item x="34"/>
        <item x="118"/>
        <item x="74"/>
        <item x="6"/>
        <item x="100"/>
        <item x="139"/>
        <item x="129"/>
        <item x="40"/>
        <item x="16"/>
        <item x="108"/>
        <item x="86"/>
        <item x="156"/>
        <item x="22"/>
        <item x="60"/>
        <item x="14"/>
        <item x="7"/>
        <item x="47"/>
        <item x="143"/>
        <item x="83"/>
        <item x="124"/>
        <item x="2"/>
        <item x="154"/>
        <item x="104"/>
        <item x="91"/>
        <item x="38"/>
        <item x="103"/>
        <item x="158"/>
        <item x="48"/>
        <item t="default"/>
      </items>
    </pivotField>
    <pivotField axis="axisCol" showAll="0">
      <items count="3">
        <item x="0"/>
        <item x="1"/>
        <item t="default"/>
      </items>
    </pivotField>
    <pivotField dataField="1" showAll="0">
      <items count="1172">
        <item x="1"/>
        <item x="20"/>
        <item x="8"/>
        <item x="93"/>
        <item x="50"/>
        <item x="59"/>
        <item x="284"/>
        <item x="10"/>
        <item x="135"/>
        <item x="30"/>
        <item x="314"/>
        <item x="15"/>
        <item x="164"/>
        <item x="263"/>
        <item x="180"/>
        <item x="55"/>
        <item x="422"/>
        <item x="62"/>
        <item x="406"/>
        <item x="147"/>
        <item x="198"/>
        <item x="246"/>
        <item x="523"/>
        <item x="61"/>
        <item x="36"/>
        <item x="589"/>
        <item x="23"/>
        <item x="200"/>
        <item x="38"/>
        <item x="324"/>
        <item x="54"/>
        <item x="394"/>
        <item x="310"/>
        <item x="331"/>
        <item x="17"/>
        <item x="70"/>
        <item x="373"/>
        <item x="25"/>
        <item x="6"/>
        <item x="504"/>
        <item x="429"/>
        <item x="664"/>
        <item x="39"/>
        <item x="272"/>
        <item x="46"/>
        <item x="195"/>
        <item x="24"/>
        <item x="241"/>
        <item x="980"/>
        <item x="217"/>
        <item x="401"/>
        <item x="451"/>
        <item x="108"/>
        <item x="9"/>
        <item x="779"/>
        <item x="82"/>
        <item x="73"/>
        <item x="262"/>
        <item x="347"/>
        <item x="457"/>
        <item x="124"/>
        <item x="326"/>
        <item x="332"/>
        <item x="153"/>
        <item x="1114"/>
        <item x="409"/>
        <item x="112"/>
        <item x="385"/>
        <item x="22"/>
        <item x="366"/>
        <item x="243"/>
        <item x="165"/>
        <item x="313"/>
        <item x="541"/>
        <item x="302"/>
        <item x="1160"/>
        <item x="416"/>
        <item x="383"/>
        <item x="269"/>
        <item x="219"/>
        <item x="363"/>
        <item x="830"/>
        <item x="344"/>
        <item x="201"/>
        <item x="168"/>
        <item x="412"/>
        <item x="914"/>
        <item x="824"/>
        <item x="40"/>
        <item x="396"/>
        <item x="321"/>
        <item x="975"/>
        <item x="304"/>
        <item x="114"/>
        <item x="515"/>
        <item x="335"/>
        <item x="293"/>
        <item x="604"/>
        <item x="77"/>
        <item x="259"/>
        <item x="334"/>
        <item x="490"/>
        <item x="1149"/>
        <item x="267"/>
        <item x="294"/>
        <item x="399"/>
        <item x="415"/>
        <item x="78"/>
        <item x="1065"/>
        <item x="1159"/>
        <item x="68"/>
        <item x="879"/>
        <item x="45"/>
        <item x="21"/>
        <item x="226"/>
        <item x="724"/>
        <item x="628"/>
        <item x="911"/>
        <item x="288"/>
        <item x="734"/>
        <item x="958"/>
        <item x="931"/>
        <item x="556"/>
        <item x="101"/>
        <item x="787"/>
        <item x="715"/>
        <item x="483"/>
        <item x="616"/>
        <item x="516"/>
        <item x="783"/>
        <item x="249"/>
        <item x="11"/>
        <item x="1170"/>
        <item x="742"/>
        <item x="1018"/>
        <item x="677"/>
        <item x="191"/>
        <item x="57"/>
        <item x="952"/>
        <item x="475"/>
        <item x="626"/>
        <item x="666"/>
        <item x="34"/>
        <item x="740"/>
        <item x="617"/>
        <item x="388"/>
        <item x="222"/>
        <item x="42"/>
        <item x="216"/>
        <item x="763"/>
        <item x="69"/>
        <item x="1150"/>
        <item x="91"/>
        <item x="181"/>
        <item x="237"/>
        <item x="903"/>
        <item x="248"/>
        <item x="436"/>
        <item x="438"/>
        <item x="96"/>
        <item x="423"/>
        <item x="883"/>
        <item x="234"/>
        <item x="203"/>
        <item x="264"/>
        <item x="349"/>
        <item x="1061"/>
        <item x="280"/>
        <item x="591"/>
        <item x="642"/>
        <item x="1068"/>
        <item x="439"/>
        <item x="463"/>
        <item x="586"/>
        <item x="431"/>
        <item x="602"/>
        <item x="652"/>
        <item x="256"/>
        <item x="89"/>
        <item x="424"/>
        <item x="1124"/>
        <item x="986"/>
        <item x="121"/>
        <item x="122"/>
        <item x="686"/>
        <item x="1034"/>
        <item x="807"/>
        <item x="1056"/>
        <item x="1143"/>
        <item x="333"/>
        <item x="295"/>
        <item x="353"/>
        <item x="809"/>
        <item x="28"/>
        <item x="649"/>
        <item x="775"/>
        <item x="792"/>
        <item x="660"/>
        <item x="110"/>
        <item x="847"/>
        <item x="281"/>
        <item x="1017"/>
        <item x="970"/>
        <item x="364"/>
        <item x="943"/>
        <item x="680"/>
        <item x="450"/>
        <item x="571"/>
        <item x="51"/>
        <item x="443"/>
        <item x="532"/>
        <item x="130"/>
        <item x="161"/>
        <item x="695"/>
        <item x="1126"/>
        <item x="647"/>
        <item x="913"/>
        <item x="102"/>
        <item x="480"/>
        <item x="687"/>
        <item x="910"/>
        <item x="1024"/>
        <item x="466"/>
        <item x="1094"/>
        <item x="343"/>
        <item x="298"/>
        <item x="527"/>
        <item x="183"/>
        <item x="239"/>
        <item x="575"/>
        <item x="426"/>
        <item x="435"/>
        <item x="674"/>
        <item x="232"/>
        <item x="522"/>
        <item x="116"/>
        <item x="498"/>
        <item x="683"/>
        <item x="554"/>
        <item x="266"/>
        <item x="83"/>
        <item x="933"/>
        <item x="204"/>
        <item x="993"/>
        <item x="682"/>
        <item x="552"/>
        <item x="213"/>
        <item x="80"/>
        <item x="502"/>
        <item x="833"/>
        <item x="1010"/>
        <item x="570"/>
        <item x="951"/>
        <item x="507"/>
        <item x="479"/>
        <item x="19"/>
        <item x="1044"/>
        <item x="942"/>
        <item x="813"/>
        <item x="727"/>
        <item x="172"/>
        <item x="311"/>
        <item x="372"/>
        <item x="72"/>
        <item x="538"/>
        <item x="762"/>
        <item x="1048"/>
        <item x="874"/>
        <item x="471"/>
        <item x="928"/>
        <item x="545"/>
        <item x="160"/>
        <item x="0"/>
        <item x="163"/>
        <item x="220"/>
        <item x="612"/>
        <item x="904"/>
        <item x="382"/>
        <item x="297"/>
        <item x="637"/>
        <item x="574"/>
        <item x="123"/>
        <item x="865"/>
        <item x="650"/>
        <item x="389"/>
        <item x="581"/>
        <item x="799"/>
        <item x="881"/>
        <item x="536"/>
        <item x="1148"/>
        <item x="381"/>
        <item x="831"/>
        <item x="758"/>
        <item x="835"/>
        <item x="732"/>
        <item x="760"/>
        <item x="455"/>
        <item x="1062"/>
        <item x="133"/>
        <item x="64"/>
        <item x="336"/>
        <item x="1046"/>
        <item x="197"/>
        <item x="1023"/>
        <item x="1154"/>
        <item x="606"/>
        <item x="497"/>
        <item x="1158"/>
        <item x="390"/>
        <item x="179"/>
        <item x="1129"/>
        <item x="71"/>
        <item x="1111"/>
        <item x="486"/>
        <item x="506"/>
        <item x="614"/>
        <item x="510"/>
        <item x="777"/>
        <item x="998"/>
        <item x="253"/>
        <item x="52"/>
        <item x="996"/>
        <item x="821"/>
        <item x="1009"/>
        <item x="675"/>
        <item x="702"/>
        <item x="836"/>
        <item x="971"/>
        <item x="643"/>
        <item x="474"/>
        <item x="1139"/>
        <item x="312"/>
        <item x="282"/>
        <item x="939"/>
        <item x="517"/>
        <item x="562"/>
        <item x="444"/>
        <item x="461"/>
        <item x="749"/>
        <item x="845"/>
        <item x="870"/>
        <item x="546"/>
        <item x="1113"/>
        <item x="85"/>
        <item x="959"/>
        <item x="894"/>
        <item x="178"/>
        <item x="368"/>
        <item x="1091"/>
        <item x="887"/>
        <item x="53"/>
        <item x="81"/>
        <item x="119"/>
        <item x="1030"/>
        <item x="1025"/>
        <item x="225"/>
        <item x="708"/>
        <item x="803"/>
        <item x="991"/>
        <item x="596"/>
        <item x="857"/>
        <item x="1167"/>
        <item x="860"/>
        <item x="467"/>
        <item x="576"/>
        <item x="673"/>
        <item x="109"/>
        <item x="623"/>
        <item x="1090"/>
        <item x="1059"/>
        <item x="339"/>
        <item x="245"/>
        <item x="421"/>
        <item x="655"/>
        <item x="1099"/>
        <item x="1058"/>
        <item x="542"/>
        <item x="654"/>
        <item x="316"/>
        <item x="1107"/>
        <item x="1142"/>
        <item x="338"/>
        <item x="134"/>
        <item x="1109"/>
        <item x="380"/>
        <item x="908"/>
        <item x="1166"/>
        <item x="1038"/>
        <item x="111"/>
        <item x="16"/>
        <item x="289"/>
        <item x="351"/>
        <item x="590"/>
        <item x="5"/>
        <item x="697"/>
        <item x="915"/>
        <item x="621"/>
        <item x="360"/>
        <item x="619"/>
        <item x="76"/>
        <item x="472"/>
        <item x="44"/>
        <item x="839"/>
        <item x="129"/>
        <item x="447"/>
        <item x="567"/>
        <item x="362"/>
        <item x="529"/>
        <item x="459"/>
        <item x="182"/>
        <item x="86"/>
        <item x="485"/>
        <item x="1035"/>
        <item x="1127"/>
        <item x="918"/>
        <item x="1027"/>
        <item x="559"/>
        <item x="789"/>
        <item x="27"/>
        <item x="193"/>
        <item x="87"/>
        <item x="1041"/>
        <item x="553"/>
        <item x="173"/>
        <item x="634"/>
        <item x="58"/>
        <item x="764"/>
        <item x="718"/>
        <item x="194"/>
        <item x="846"/>
        <item x="1155"/>
        <item x="150"/>
        <item x="508"/>
        <item x="230"/>
        <item x="319"/>
        <item x="1121"/>
        <item x="902"/>
        <item x="1074"/>
        <item x="236"/>
        <item x="511"/>
        <item x="871"/>
        <item x="743"/>
        <item x="184"/>
        <item x="672"/>
        <item x="499"/>
        <item x="1110"/>
        <item x="863"/>
        <item x="607"/>
        <item x="774"/>
        <item x="159"/>
        <item x="745"/>
        <item x="899"/>
        <item x="1057"/>
        <item x="585"/>
        <item x="595"/>
        <item x="534"/>
        <item x="67"/>
        <item x="84"/>
        <item x="139"/>
        <item x="407"/>
        <item x="1051"/>
        <item x="1157"/>
        <item x="705"/>
        <item x="733"/>
        <item x="106"/>
        <item x="215"/>
        <item x="387"/>
        <item x="254"/>
        <item x="694"/>
        <item x="844"/>
        <item x="268"/>
        <item x="162"/>
        <item x="1089"/>
        <item x="386"/>
        <item x="1098"/>
        <item x="206"/>
        <item x="600"/>
        <item x="1075"/>
        <item x="247"/>
        <item x="665"/>
        <item x="558"/>
        <item x="445"/>
        <item x="337"/>
        <item x="291"/>
        <item x="271"/>
        <item x="892"/>
        <item x="688"/>
        <item x="376"/>
        <item x="923"/>
        <item x="1036"/>
        <item x="141"/>
        <item x="1043"/>
        <item x="960"/>
        <item x="250"/>
        <item x="140"/>
        <item x="224"/>
        <item x="320"/>
        <item x="348"/>
        <item x="684"/>
        <item x="127"/>
        <item x="1033"/>
        <item x="375"/>
        <item x="767"/>
        <item x="872"/>
        <item x="171"/>
        <item x="350"/>
        <item x="852"/>
        <item x="641"/>
        <item x="941"/>
        <item x="801"/>
        <item x="392"/>
        <item x="379"/>
        <item x="837"/>
        <item x="981"/>
        <item x="953"/>
        <item x="528"/>
        <item x="258"/>
        <item x="174"/>
        <item x="781"/>
        <item x="969"/>
        <item x="886"/>
        <item x="1032"/>
        <item x="737"/>
        <item x="393"/>
        <item x="726"/>
        <item x="318"/>
        <item x="99"/>
        <item x="300"/>
        <item x="916"/>
        <item x="772"/>
        <item x="814"/>
        <item x="1117"/>
        <item x="41"/>
        <item x="79"/>
        <item x="982"/>
        <item x="930"/>
        <item x="648"/>
        <item x="187"/>
        <item x="509"/>
        <item x="1115"/>
        <item x="125"/>
        <item x="465"/>
        <item x="308"/>
        <item x="176"/>
        <item x="795"/>
        <item x="646"/>
        <item x="851"/>
        <item x="525"/>
        <item x="711"/>
        <item x="1116"/>
        <item x="651"/>
        <item x="218"/>
        <item x="210"/>
        <item x="65"/>
        <item x="464"/>
        <item x="867"/>
        <item x="512"/>
        <item x="12"/>
        <item x="987"/>
        <item x="60"/>
        <item x="395"/>
        <item x="994"/>
        <item x="551"/>
        <item x="530"/>
        <item x="565"/>
        <item x="1063"/>
        <item x="1084"/>
        <item x="656"/>
        <item x="212"/>
        <item x="599"/>
        <item x="598"/>
        <item x="437"/>
        <item x="838"/>
        <item x="468"/>
        <item x="658"/>
        <item x="177"/>
        <item x="638"/>
        <item x="937"/>
        <item x="104"/>
        <item x="573"/>
        <item x="1146"/>
        <item x="211"/>
        <item x="782"/>
        <item x="859"/>
        <item x="630"/>
        <item x="493"/>
        <item x="492"/>
        <item x="260"/>
        <item x="974"/>
        <item x="827"/>
        <item x="131"/>
        <item x="427"/>
        <item x="240"/>
        <item x="800"/>
        <item x="812"/>
        <item x="1053"/>
        <item x="361"/>
        <item x="765"/>
        <item x="961"/>
        <item x="369"/>
        <item x="662"/>
        <item x="469"/>
        <item x="700"/>
        <item x="719"/>
        <item x="954"/>
        <item x="826"/>
        <item x="98"/>
        <item x="841"/>
        <item x="94"/>
        <item x="920"/>
        <item x="739"/>
        <item x="723"/>
        <item x="712"/>
        <item x="786"/>
        <item x="305"/>
        <item x="1163"/>
        <item x="495"/>
        <item x="539"/>
        <item x="233"/>
        <item x="633"/>
        <item x="849"/>
        <item x="543"/>
        <item x="893"/>
        <item x="487"/>
        <item x="966"/>
        <item x="691"/>
        <item x="413"/>
        <item x="587"/>
        <item x="663"/>
        <item x="405"/>
        <item x="1130"/>
        <item x="488"/>
        <item x="32"/>
        <item x="639"/>
        <item x="138"/>
        <item x="676"/>
        <item x="519"/>
        <item x="327"/>
        <item x="1144"/>
        <item x="717"/>
        <item x="410"/>
        <item x="978"/>
        <item x="414"/>
        <item x="473"/>
        <item x="279"/>
        <item x="356"/>
        <item x="205"/>
        <item x="938"/>
        <item x="75"/>
        <item x="885"/>
        <item x="411"/>
        <item x="1162"/>
        <item x="1122"/>
        <item x="277"/>
        <item x="462"/>
        <item x="613"/>
        <item x="995"/>
        <item x="823"/>
        <item x="927"/>
        <item x="957"/>
        <item x="1002"/>
        <item x="866"/>
        <item x="843"/>
        <item x="404"/>
        <item x="208"/>
        <item x="1071"/>
        <item x="190"/>
        <item x="365"/>
        <item x="730"/>
        <item x="1079"/>
        <item x="888"/>
        <item x="209"/>
        <item x="1015"/>
        <item x="252"/>
        <item x="725"/>
        <item x="227"/>
        <item x="533"/>
        <item x="1102"/>
        <item x="273"/>
        <item x="577"/>
        <item x="478"/>
        <item x="384"/>
        <item x="815"/>
        <item x="671"/>
        <item x="1120"/>
        <item x="354"/>
        <item x="707"/>
        <item x="290"/>
        <item x="640"/>
        <item x="442"/>
        <item x="3"/>
        <item x="618"/>
        <item x="921"/>
        <item x="925"/>
        <item x="95"/>
        <item x="460"/>
        <item x="1141"/>
        <item x="900"/>
        <item x="592"/>
        <item x="169"/>
        <item x="1085"/>
        <item x="840"/>
        <item x="555"/>
        <item x="759"/>
        <item x="136"/>
        <item x="367"/>
        <item x="1073"/>
        <item x="955"/>
        <item x="274"/>
        <item x="1151"/>
        <item x="341"/>
        <item x="818"/>
        <item x="1092"/>
        <item x="47"/>
        <item x="834"/>
        <item x="912"/>
        <item x="780"/>
        <item x="584"/>
        <item x="992"/>
        <item x="710"/>
        <item x="419"/>
        <item x="906"/>
        <item x="1165"/>
        <item x="418"/>
        <item x="1164"/>
        <item x="755"/>
        <item x="301"/>
        <item x="1088"/>
        <item x="876"/>
        <item x="601"/>
        <item x="690"/>
        <item x="166"/>
        <item x="798"/>
        <item x="425"/>
        <item x="770"/>
        <item x="603"/>
        <item x="158"/>
        <item x="231"/>
        <item x="891"/>
        <item x="1082"/>
        <item x="796"/>
        <item x="593"/>
        <item x="731"/>
        <item x="1026"/>
        <item x="144"/>
        <item x="746"/>
        <item x="988"/>
        <item x="1078"/>
        <item x="1161"/>
        <item x="31"/>
        <item x="873"/>
        <item x="66"/>
        <item x="433"/>
        <item x="48"/>
        <item x="965"/>
        <item x="417"/>
        <item x="185"/>
        <item x="864"/>
        <item x="255"/>
        <item x="202"/>
        <item x="148"/>
        <item x="7"/>
        <item x="956"/>
        <item x="400"/>
        <item x="1050"/>
        <item x="430"/>
        <item x="794"/>
        <item x="157"/>
        <item x="276"/>
        <item x="1011"/>
        <item x="922"/>
        <item x="610"/>
        <item x="1135"/>
        <item x="608"/>
        <item x="950"/>
        <item x="948"/>
        <item x="635"/>
        <item x="408"/>
        <item x="653"/>
        <item x="776"/>
        <item x="750"/>
        <item x="862"/>
        <item x="699"/>
        <item x="74"/>
        <item x="1169"/>
        <item x="751"/>
        <item x="1118"/>
        <item x="967"/>
        <item x="207"/>
        <item x="146"/>
        <item x="569"/>
        <item x="822"/>
        <item x="342"/>
        <item x="563"/>
        <item x="518"/>
        <item x="496"/>
        <item x="963"/>
        <item x="766"/>
        <item x="524"/>
        <item x="706"/>
        <item x="1137"/>
        <item x="214"/>
        <item x="97"/>
        <item x="861"/>
        <item x="990"/>
        <item x="358"/>
        <item x="1128"/>
        <item x="890"/>
        <item x="704"/>
        <item x="299"/>
        <item x="501"/>
        <item x="819"/>
        <item x="56"/>
        <item x="917"/>
        <item x="223"/>
        <item x="1145"/>
        <item x="1097"/>
        <item x="156"/>
        <item x="669"/>
        <item x="644"/>
        <item x="1112"/>
        <item x="625"/>
        <item x="526"/>
        <item x="1005"/>
        <item x="192"/>
        <item x="997"/>
        <item x="875"/>
        <item x="548"/>
        <item x="579"/>
        <item x="869"/>
        <item x="549"/>
        <item x="244"/>
        <item x="756"/>
        <item x="155"/>
        <item x="564"/>
        <item x="1132"/>
        <item x="37"/>
        <item x="137"/>
        <item x="306"/>
        <item x="1007"/>
        <item x="377"/>
        <item x="481"/>
        <item x="769"/>
        <item x="692"/>
        <item x="816"/>
        <item x="1153"/>
        <item x="229"/>
        <item x="597"/>
        <item x="500"/>
        <item x="936"/>
        <item x="117"/>
        <item x="802"/>
        <item x="126"/>
        <item x="544"/>
        <item x="402"/>
        <item x="432"/>
        <item x="145"/>
        <item x="265"/>
        <item x="661"/>
        <item x="877"/>
        <item x="932"/>
        <item x="583"/>
        <item x="1029"/>
        <item x="540"/>
        <item x="689"/>
        <item x="744"/>
        <item x="1096"/>
        <item x="270"/>
        <item x="1134"/>
        <item x="929"/>
        <item x="189"/>
        <item x="454"/>
        <item x="196"/>
        <item x="561"/>
        <item x="446"/>
        <item x="29"/>
        <item x="275"/>
        <item x="713"/>
        <item x="747"/>
        <item x="609"/>
        <item x="1093"/>
        <item x="1105"/>
        <item x="482"/>
        <item x="118"/>
        <item x="238"/>
        <item x="1064"/>
        <item x="1012"/>
        <item x="92"/>
        <item x="149"/>
        <item x="105"/>
        <item x="703"/>
        <item x="378"/>
        <item x="668"/>
        <item x="611"/>
        <item x="701"/>
        <item x="167"/>
        <item x="13"/>
        <item x="103"/>
        <item x="698"/>
        <item x="340"/>
        <item x="521"/>
        <item x="738"/>
        <item x="858"/>
        <item x="1016"/>
        <item x="1001"/>
        <item x="1049"/>
        <item x="470"/>
        <item x="328"/>
        <item x="1140"/>
        <item x="90"/>
        <item x="170"/>
        <item x="811"/>
        <item x="1083"/>
        <item x="709"/>
        <item x="832"/>
        <item x="1008"/>
        <item x="154"/>
        <item x="636"/>
        <item x="1080"/>
        <item x="898"/>
        <item x="345"/>
        <item x="889"/>
        <item x="374"/>
        <item x="458"/>
        <item x="505"/>
        <item x="976"/>
        <item x="1095"/>
        <item x="808"/>
        <item x="434"/>
        <item x="477"/>
        <item x="568"/>
        <item x="972"/>
        <item x="884"/>
        <item x="622"/>
        <item x="287"/>
        <item x="1019"/>
        <item x="35"/>
        <item x="1067"/>
        <item x="805"/>
        <item x="494"/>
        <item x="572"/>
        <item x="257"/>
        <item x="945"/>
        <item x="1055"/>
        <item x="1152"/>
        <item x="670"/>
        <item x="18"/>
        <item x="323"/>
        <item x="1100"/>
        <item x="440"/>
        <item x="964"/>
        <item x="142"/>
        <item x="791"/>
        <item x="26"/>
        <item x="1028"/>
        <item x="107"/>
        <item x="806"/>
        <item x="909"/>
        <item x="989"/>
        <item x="940"/>
        <item x="1104"/>
        <item x="547"/>
        <item x="4"/>
        <item x="901"/>
        <item x="659"/>
        <item x="962"/>
        <item x="797"/>
        <item x="303"/>
        <item x="371"/>
        <item x="785"/>
        <item x="934"/>
        <item x="1147"/>
        <item x="788"/>
        <item x="307"/>
        <item x="535"/>
        <item x="398"/>
        <item x="714"/>
        <item x="924"/>
        <item x="283"/>
        <item x="919"/>
        <item x="1081"/>
        <item x="720"/>
        <item x="848"/>
        <item x="1014"/>
        <item x="235"/>
        <item x="1123"/>
        <item x="693"/>
        <item x="741"/>
        <item x="1119"/>
        <item x="735"/>
        <item x="43"/>
        <item x="100"/>
        <item x="428"/>
        <item x="983"/>
        <item x="357"/>
        <item x="456"/>
        <item x="907"/>
        <item x="947"/>
        <item x="645"/>
        <item x="804"/>
        <item x="491"/>
        <item x="667"/>
        <item x="1087"/>
        <item x="278"/>
        <item x="315"/>
        <item x="748"/>
        <item x="322"/>
        <item x="14"/>
        <item x="896"/>
        <item x="132"/>
        <item x="1040"/>
        <item x="828"/>
        <item x="33"/>
        <item x="1037"/>
        <item x="854"/>
        <item x="944"/>
        <item x="403"/>
        <item x="905"/>
        <item x="63"/>
        <item x="829"/>
        <item x="503"/>
        <item x="1022"/>
        <item x="973"/>
        <item x="722"/>
        <item x="1069"/>
        <item x="817"/>
        <item x="359"/>
        <item x="449"/>
        <item x="489"/>
        <item x="753"/>
        <item x="754"/>
        <item x="514"/>
        <item x="352"/>
        <item x="968"/>
        <item x="285"/>
        <item x="793"/>
        <item x="286"/>
        <item x="1045"/>
        <item x="452"/>
        <item x="1003"/>
        <item x="513"/>
        <item x="977"/>
        <item x="627"/>
        <item x="679"/>
        <item x="985"/>
        <item x="1156"/>
        <item x="880"/>
        <item x="113"/>
        <item x="1108"/>
        <item x="1052"/>
        <item x="152"/>
        <item x="1021"/>
        <item x="151"/>
        <item x="550"/>
        <item x="346"/>
        <item x="605"/>
        <item x="537"/>
        <item x="946"/>
        <item x="1101"/>
        <item x="1000"/>
        <item x="397"/>
        <item x="729"/>
        <item x="825"/>
        <item x="330"/>
        <item x="773"/>
        <item x="1168"/>
        <item x="778"/>
        <item x="784"/>
        <item x="484"/>
        <item x="1070"/>
        <item x="1047"/>
        <item x="228"/>
        <item x="292"/>
        <item x="188"/>
        <item x="355"/>
        <item x="728"/>
        <item x="325"/>
        <item x="175"/>
        <item x="115"/>
        <item x="309"/>
        <item x="582"/>
        <item x="999"/>
        <item x="882"/>
        <item x="624"/>
        <item x="420"/>
        <item x="678"/>
        <item x="868"/>
        <item x="926"/>
        <item x="317"/>
        <item x="329"/>
        <item x="578"/>
        <item x="685"/>
        <item x="261"/>
        <item x="716"/>
        <item x="242"/>
        <item x="1042"/>
        <item x="984"/>
        <item x="979"/>
        <item x="761"/>
        <item x="629"/>
        <item x="696"/>
        <item x="1131"/>
        <item x="771"/>
        <item x="1020"/>
        <item x="566"/>
        <item x="1106"/>
        <item x="391"/>
        <item x="594"/>
        <item x="448"/>
        <item x="221"/>
        <item x="631"/>
        <item x="557"/>
        <item x="1136"/>
        <item x="878"/>
        <item x="752"/>
        <item x="453"/>
        <item x="370"/>
        <item x="949"/>
        <item x="580"/>
        <item x="2"/>
        <item x="1004"/>
        <item x="531"/>
        <item x="1138"/>
        <item x="820"/>
        <item x="88"/>
        <item x="588"/>
        <item x="736"/>
        <item x="1133"/>
        <item x="855"/>
        <item x="251"/>
        <item x="853"/>
        <item x="842"/>
        <item x="1076"/>
        <item x="1013"/>
        <item x="681"/>
        <item x="441"/>
        <item x="935"/>
        <item x="128"/>
        <item x="1060"/>
        <item x="1039"/>
        <item x="757"/>
        <item x="897"/>
        <item x="1072"/>
        <item x="1077"/>
        <item x="615"/>
        <item x="520"/>
        <item x="143"/>
        <item x="199"/>
        <item x="790"/>
        <item x="721"/>
        <item x="1006"/>
        <item x="1054"/>
        <item x="560"/>
        <item x="1086"/>
        <item x="632"/>
        <item x="856"/>
        <item x="186"/>
        <item x="120"/>
        <item x="620"/>
        <item x="1103"/>
        <item x="296"/>
        <item x="895"/>
        <item x="1031"/>
        <item x="49"/>
        <item x="850"/>
        <item x="1125"/>
        <item x="810"/>
        <item x="476"/>
        <item x="768"/>
        <item x="1066"/>
        <item x="657"/>
        <item t="default"/>
      </items>
    </pivotField>
    <pivotField dataField="1" showAll="0">
      <items count="886">
        <item x="44"/>
        <item x="1"/>
        <item x="19"/>
        <item x="25"/>
        <item x="2"/>
        <item x="9"/>
        <item x="37"/>
        <item x="30"/>
        <item x="43"/>
        <item x="128"/>
        <item x="85"/>
        <item x="242"/>
        <item x="14"/>
        <item x="53"/>
        <item x="197"/>
        <item x="247"/>
        <item x="22"/>
        <item x="127"/>
        <item x="163"/>
        <item x="170"/>
        <item x="130"/>
        <item x="166"/>
        <item x="52"/>
        <item x="215"/>
        <item x="49"/>
        <item x="36"/>
        <item x="145"/>
        <item x="82"/>
        <item x="24"/>
        <item x="38"/>
        <item x="252"/>
        <item x="289"/>
        <item x="309"/>
        <item x="46"/>
        <item x="213"/>
        <item x="16"/>
        <item x="64"/>
        <item x="315"/>
        <item x="93"/>
        <item x="6"/>
        <item x="394"/>
        <item x="333"/>
        <item x="519"/>
        <item x="246"/>
        <item x="771"/>
        <item x="123"/>
        <item x="8"/>
        <item x="23"/>
        <item x="144"/>
        <item x="631"/>
        <item x="177"/>
        <item x="440"/>
        <item x="481"/>
        <item x="95"/>
        <item x="551"/>
        <item x="283"/>
        <item x="73"/>
        <item x="67"/>
        <item x="208"/>
        <item x="265"/>
        <item x="236"/>
        <item x="109"/>
        <item x="254"/>
        <item x="660"/>
        <item x="133"/>
        <item x="842"/>
        <item x="232"/>
        <item x="99"/>
        <item x="301"/>
        <item x="21"/>
        <item x="140"/>
        <item x="241"/>
        <item x="426"/>
        <item x="63"/>
        <item x="879"/>
        <item x="324"/>
        <item x="12"/>
        <item x="10"/>
        <item x="178"/>
        <item x="249"/>
        <item x="281"/>
        <item x="77"/>
        <item x="558"/>
        <item x="407"/>
        <item x="142"/>
        <item x="320"/>
        <item x="745"/>
        <item x="520"/>
        <item x="39"/>
        <item x="311"/>
        <item x="352"/>
        <item x="734"/>
        <item x="271"/>
        <item x="41"/>
        <item x="260"/>
        <item x="231"/>
        <item x="472"/>
        <item x="226"/>
        <item x="206"/>
        <item x="259"/>
        <item x="381"/>
        <item x="870"/>
        <item x="752"/>
        <item x="293"/>
        <item x="314"/>
        <item x="323"/>
        <item x="718"/>
        <item x="62"/>
        <item x="658"/>
        <item x="45"/>
        <item x="20"/>
        <item x="34"/>
        <item x="560"/>
        <item x="198"/>
        <item x="273"/>
        <item x="662"/>
        <item x="704"/>
        <item x="435"/>
        <item x="88"/>
        <item x="599"/>
        <item x="553"/>
        <item x="376"/>
        <item x="405"/>
        <item x="596"/>
        <item x="199"/>
        <item x="789"/>
        <item x="505"/>
        <item x="762"/>
        <item x="500"/>
        <item x="160"/>
        <item x="55"/>
        <item x="768"/>
        <item x="369"/>
        <item x="307"/>
        <item x="487"/>
        <item x="345"/>
        <item x="223"/>
        <item x="0"/>
        <item x="480"/>
        <item x="455"/>
        <item x="180"/>
        <item x="483"/>
        <item x="584"/>
        <item x="765"/>
        <item x="79"/>
        <item x="152"/>
        <item x="373"/>
        <item x="191"/>
        <item x="97"/>
        <item x="677"/>
        <item x="790"/>
        <item x="530"/>
        <item x="339"/>
        <item x="341"/>
        <item x="778"/>
        <item x="83"/>
        <item x="327"/>
        <item x="188"/>
        <item x="165"/>
        <item x="209"/>
        <item x="269"/>
        <item x="799"/>
        <item x="219"/>
        <item x="549"/>
        <item x="151"/>
        <item x="805"/>
        <item x="342"/>
        <item x="362"/>
        <item x="360"/>
        <item x="335"/>
        <item x="770"/>
        <item x="683"/>
        <item x="383"/>
        <item x="203"/>
        <item x="328"/>
        <item x="389"/>
        <item x="568"/>
        <item x="106"/>
        <item x="107"/>
        <item x="666"/>
        <item x="772"/>
        <item x="605"/>
        <item x="796"/>
        <item x="866"/>
        <item x="509"/>
        <item x="258"/>
        <item x="233"/>
        <item x="616"/>
        <item x="28"/>
        <item x="591"/>
        <item x="661"/>
        <item x="515"/>
        <item x="465"/>
        <item x="220"/>
        <item x="761"/>
        <item x="433"/>
        <item x="292"/>
        <item x="711"/>
        <item x="430"/>
        <item x="353"/>
        <item x="448"/>
        <item x="537"/>
        <item x="416"/>
        <item x="115"/>
        <item x="138"/>
        <item x="538"/>
        <item x="238"/>
        <item x="853"/>
        <item x="454"/>
        <item x="503"/>
        <item x="466"/>
        <item x="686"/>
        <item x="89"/>
        <item x="240"/>
        <item x="442"/>
        <item x="422"/>
        <item x="299"/>
        <item x="527"/>
        <item x="264"/>
        <item x="234"/>
        <item x="697"/>
        <item x="413"/>
        <item x="154"/>
        <item x="193"/>
        <item x="451"/>
        <item x="330"/>
        <item x="338"/>
        <item x="526"/>
        <item x="186"/>
        <item x="410"/>
        <item x="103"/>
        <item x="403"/>
        <item x="406"/>
        <item x="368"/>
        <item x="356"/>
        <item x="644"/>
        <item x="74"/>
        <item x="705"/>
        <item x="135"/>
        <item x="858"/>
        <item x="174"/>
        <item x="71"/>
        <item x="392"/>
        <item x="691"/>
        <item x="700"/>
        <item x="585"/>
        <item x="468"/>
        <item x="285"/>
        <item x="717"/>
        <item x="397"/>
        <item x="18"/>
        <item x="783"/>
        <item x="619"/>
        <item x="562"/>
        <item x="146"/>
        <item x="239"/>
        <item x="287"/>
        <item x="66"/>
        <item x="656"/>
        <item x="15"/>
        <item x="701"/>
        <item x="878"/>
        <item x="428"/>
        <item x="137"/>
        <item x="784"/>
        <item x="815"/>
        <item x="452"/>
        <item x="179"/>
        <item x="477"/>
        <item x="678"/>
        <item x="493"/>
        <item x="3"/>
        <item x="108"/>
        <item x="507"/>
        <item x="303"/>
        <item x="474"/>
        <item x="861"/>
        <item x="348"/>
        <item x="227"/>
        <item x="421"/>
        <item x="869"/>
        <item x="298"/>
        <item x="105"/>
        <item x="635"/>
        <item x="98"/>
        <item x="583"/>
        <item x="637"/>
        <item x="565"/>
        <item x="153"/>
        <item x="800"/>
        <item x="118"/>
        <item x="59"/>
        <item x="261"/>
        <item x="786"/>
        <item x="556"/>
        <item x="698"/>
        <item x="624"/>
        <item x="874"/>
        <item x="388"/>
        <item x="877"/>
        <item x="304"/>
        <item x="245"/>
        <item x="300"/>
        <item x="855"/>
        <item x="65"/>
        <item x="839"/>
        <item x="379"/>
        <item x="396"/>
        <item x="399"/>
        <item x="56"/>
        <item x="593"/>
        <item x="69"/>
        <item x="827"/>
        <item x="657"/>
        <item x="50"/>
        <item x="749"/>
        <item x="626"/>
        <item x="756"/>
        <item x="542"/>
        <item x="638"/>
        <item x="730"/>
        <item x="498"/>
        <item x="763"/>
        <item x="104"/>
        <item x="201"/>
        <item x="539"/>
        <item x="27"/>
        <item x="651"/>
        <item x="347"/>
        <item x="415"/>
        <item x="11"/>
        <item x="574"/>
        <item x="288"/>
        <item x="841"/>
        <item x="76"/>
        <item x="672"/>
        <item x="150"/>
        <item x="820"/>
        <item x="668"/>
        <item x="51"/>
        <item x="132"/>
        <item x="72"/>
        <item x="581"/>
        <item x="566"/>
        <item x="182"/>
        <item x="532"/>
        <item x="531"/>
        <item x="743"/>
        <item x="590"/>
        <item x="655"/>
        <item x="492"/>
        <item x="690"/>
        <item x="650"/>
        <item x="773"/>
        <item x="607"/>
        <item x="257"/>
        <item x="96"/>
        <item x="441"/>
        <item x="414"/>
        <item x="819"/>
        <item x="729"/>
        <item x="506"/>
        <item x="196"/>
        <item x="291"/>
        <item x="826"/>
        <item x="709"/>
        <item x="511"/>
        <item x="244"/>
        <item x="716"/>
        <item x="835"/>
        <item x="268"/>
        <item x="308"/>
        <item x="836"/>
        <item x="211"/>
        <item x="297"/>
        <item x="682"/>
        <item x="882"/>
        <item x="75"/>
        <item x="460"/>
        <item x="5"/>
        <item x="687"/>
        <item x="484"/>
        <item x="278"/>
        <item x="217"/>
        <item x="366"/>
        <item x="640"/>
        <item x="114"/>
        <item x="350"/>
        <item x="401"/>
        <item x="280"/>
        <item x="781"/>
        <item x="378"/>
        <item x="854"/>
        <item x="838"/>
        <item x="754"/>
        <item x="437"/>
        <item x="567"/>
        <item x="262"/>
        <item x="779"/>
        <item x="832"/>
        <item x="147"/>
        <item x="367"/>
        <item x="681"/>
        <item x="665"/>
        <item x="555"/>
        <item x="689"/>
        <item x="417"/>
        <item x="699"/>
        <item x="398"/>
        <item x="184"/>
        <item x="883"/>
        <item x="802"/>
        <item x="808"/>
        <item x="190"/>
        <item x="400"/>
        <item x="155"/>
        <item x="525"/>
        <item x="613"/>
        <item x="390"/>
        <item x="595"/>
        <item x="608"/>
        <item x="473"/>
        <item x="694"/>
        <item x="92"/>
        <item x="833"/>
        <item x="572"/>
        <item x="458"/>
        <item x="464"/>
        <item x="418"/>
        <item x="409"/>
        <item x="87"/>
        <item x="122"/>
        <item x="876"/>
        <item x="544"/>
        <item x="176"/>
        <item x="302"/>
        <item x="277"/>
        <item x="747"/>
        <item x="139"/>
        <item x="864"/>
        <item x="129"/>
        <item x="512"/>
        <item x="825"/>
        <item x="168"/>
        <item x="194"/>
        <item x="469"/>
        <item x="70"/>
        <item x="436"/>
        <item x="229"/>
        <item x="671"/>
        <item x="713"/>
        <item x="693"/>
        <item x="774"/>
        <item x="125"/>
        <item x="793"/>
        <item x="187"/>
        <item x="782"/>
        <item x="723"/>
        <item x="200"/>
        <item x="124"/>
        <item x="181"/>
        <item x="248"/>
        <item x="569"/>
        <item x="113"/>
        <item x="207"/>
        <item x="270"/>
        <item x="490"/>
        <item x="710"/>
        <item x="610"/>
        <item x="306"/>
        <item x="296"/>
        <item x="183"/>
        <item x="719"/>
        <item x="205"/>
        <item x="148"/>
        <item x="667"/>
        <item x="780"/>
        <item x="561"/>
        <item x="633"/>
        <item x="629"/>
        <item x="86"/>
        <item x="534"/>
        <item x="620"/>
        <item x="846"/>
        <item x="40"/>
        <item x="738"/>
        <item x="703"/>
        <item x="504"/>
        <item x="361"/>
        <item x="843"/>
        <item x="111"/>
        <item x="364"/>
        <item x="149"/>
        <item x="502"/>
        <item x="411"/>
        <item x="541"/>
        <item x="548"/>
        <item x="844"/>
        <item x="508"/>
        <item x="579"/>
        <item x="172"/>
        <item x="60"/>
        <item x="363"/>
        <item x="554"/>
        <item x="741"/>
        <item x="57"/>
        <item x="310"/>
        <item x="744"/>
        <item x="432"/>
        <item x="801"/>
        <item x="814"/>
        <item x="173"/>
        <item x="856"/>
        <item x="467"/>
        <item x="340"/>
        <item x="639"/>
        <item x="365"/>
        <item x="514"/>
        <item x="759"/>
        <item x="346"/>
        <item x="494"/>
        <item x="706"/>
        <item x="91"/>
        <item x="450"/>
        <item x="798"/>
        <item x="459"/>
        <item x="868"/>
        <item x="684"/>
        <item x="837"/>
        <item x="496"/>
        <item x="384"/>
        <item x="797"/>
        <item x="632"/>
        <item x="116"/>
        <item x="331"/>
        <item x="461"/>
        <item x="609"/>
        <item x="618"/>
        <item x="453"/>
        <item x="517"/>
        <item x="862"/>
        <item x="545"/>
        <item x="720"/>
        <item x="630"/>
        <item x="294"/>
        <item x="642"/>
        <item x="81"/>
        <item x="563"/>
        <item x="457"/>
        <item x="598"/>
        <item x="696"/>
        <item x="669"/>
        <item x="645"/>
        <item x="386"/>
        <item x="423"/>
        <item x="646"/>
        <item x="807"/>
        <item x="427"/>
        <item x="380"/>
        <item x="727"/>
        <item x="535"/>
        <item x="321"/>
        <item x="834"/>
        <item x="518"/>
        <item x="317"/>
        <item x="32"/>
        <item x="495"/>
        <item x="121"/>
        <item x="528"/>
        <item x="775"/>
        <item x="255"/>
        <item x="216"/>
        <item x="867"/>
        <item x="318"/>
        <item x="737"/>
        <item x="824"/>
        <item x="322"/>
        <item x="564"/>
        <item x="275"/>
        <item x="447"/>
        <item x="167"/>
        <item x="707"/>
        <item x="68"/>
        <item x="664"/>
        <item x="319"/>
        <item x="880"/>
        <item x="849"/>
        <item x="218"/>
        <item x="478"/>
        <item x="748"/>
        <item x="628"/>
        <item x="722"/>
        <item x="751"/>
        <item x="654"/>
        <item x="643"/>
        <item x="171"/>
        <item x="159"/>
        <item x="282"/>
        <item x="845"/>
        <item x="810"/>
        <item x="156"/>
        <item x="420"/>
        <item x="830"/>
        <item x="214"/>
        <item x="372"/>
        <item x="621"/>
        <item x="274"/>
        <item x="228"/>
        <item x="497"/>
        <item x="102"/>
        <item x="482"/>
        <item x="692"/>
        <item x="359"/>
        <item x="865"/>
        <item x="746"/>
        <item x="675"/>
        <item x="143"/>
        <item x="816"/>
        <item x="641"/>
        <item x="434"/>
        <item x="725"/>
        <item x="119"/>
        <item x="284"/>
        <item x="84"/>
        <item x="715"/>
        <item x="408"/>
        <item x="871"/>
        <item x="212"/>
        <item x="821"/>
        <item x="47"/>
        <item x="636"/>
        <item x="685"/>
        <item x="594"/>
        <item x="547"/>
        <item x="326"/>
        <item x="680"/>
        <item x="881"/>
        <item x="325"/>
        <item x="580"/>
        <item x="688"/>
        <item x="134"/>
        <item x="470"/>
        <item x="141"/>
        <item x="329"/>
        <item x="588"/>
        <item x="471"/>
        <item x="136"/>
        <item x="185"/>
        <item x="462"/>
        <item x="733"/>
        <item x="463"/>
        <item x="742"/>
        <item x="809"/>
        <item x="625"/>
        <item x="31"/>
        <item x="61"/>
        <item x="195"/>
        <item x="126"/>
        <item x="48"/>
        <item x="653"/>
        <item x="202"/>
        <item x="164"/>
        <item x="29"/>
        <item x="112"/>
        <item x="131"/>
        <item x="852"/>
        <item x="7"/>
        <item x="721"/>
        <item x="791"/>
        <item x="334"/>
        <item x="604"/>
        <item x="622"/>
        <item x="757"/>
        <item x="822"/>
        <item x="611"/>
        <item x="475"/>
        <item x="571"/>
        <item x="375"/>
        <item x="663"/>
        <item x="510"/>
        <item x="592"/>
        <item x="575"/>
        <item x="652"/>
        <item x="349"/>
        <item x="80"/>
        <item x="35"/>
        <item x="847"/>
        <item x="169"/>
        <item x="279"/>
        <item x="162"/>
        <item x="627"/>
        <item x="443"/>
        <item x="387"/>
        <item x="175"/>
        <item x="794"/>
        <item x="851"/>
        <item x="766"/>
        <item x="573"/>
        <item x="54"/>
        <item x="649"/>
        <item x="516"/>
        <item x="439"/>
        <item x="523"/>
        <item x="499"/>
        <item x="395"/>
        <item x="840"/>
        <item x="412"/>
        <item x="777"/>
        <item x="161"/>
        <item x="521"/>
        <item x="431"/>
        <item x="582"/>
        <item x="444"/>
        <item x="204"/>
        <item x="120"/>
        <item x="714"/>
        <item x="374"/>
        <item x="587"/>
        <item x="546"/>
        <item x="873"/>
        <item x="540"/>
        <item x="391"/>
        <item x="674"/>
        <item x="731"/>
        <item x="336"/>
        <item x="210"/>
        <item x="767"/>
        <item x="424"/>
        <item x="533"/>
        <item x="859"/>
        <item x="479"/>
        <item x="702"/>
        <item x="735"/>
        <item x="355"/>
        <item x="425"/>
        <item x="550"/>
        <item x="476"/>
        <item x="192"/>
        <item x="110"/>
        <item x="543"/>
        <item x="295"/>
        <item x="522"/>
        <item x="371"/>
        <item x="90"/>
        <item x="263"/>
        <item x="760"/>
        <item x="313"/>
        <item x="750"/>
        <item x="788"/>
        <item x="256"/>
        <item x="863"/>
        <item x="78"/>
        <item x="597"/>
        <item x="617"/>
        <item x="813"/>
        <item x="755"/>
        <item x="811"/>
        <item x="266"/>
        <item x="670"/>
        <item x="290"/>
        <item x="358"/>
        <item x="26"/>
        <item x="875"/>
        <item x="823"/>
        <item x="615"/>
        <item x="272"/>
        <item x="337"/>
        <item x="446"/>
        <item x="221"/>
        <item x="485"/>
        <item x="225"/>
        <item x="804"/>
        <item x="612"/>
        <item x="385"/>
        <item x="449"/>
        <item x="795"/>
        <item x="872"/>
        <item x="536"/>
        <item x="524"/>
        <item x="732"/>
        <item x="17"/>
        <item x="251"/>
        <item x="785"/>
        <item x="828"/>
        <item x="489"/>
        <item x="343"/>
        <item x="726"/>
        <item x="602"/>
        <item x="286"/>
        <item x="94"/>
        <item x="614"/>
        <item x="708"/>
        <item x="831"/>
        <item x="429"/>
        <item x="4"/>
        <item x="676"/>
        <item x="724"/>
        <item x="606"/>
        <item x="235"/>
        <item x="600"/>
        <item x="237"/>
        <item x="419"/>
        <item x="552"/>
        <item x="695"/>
        <item x="728"/>
        <item x="589"/>
        <item x="812"/>
        <item x="557"/>
        <item x="222"/>
        <item x="758"/>
        <item x="189"/>
        <item x="850"/>
        <item x="438"/>
        <item x="570"/>
        <item x="848"/>
        <item x="42"/>
        <item x="332"/>
        <item x="739"/>
        <item x="402"/>
        <item x="601"/>
        <item x="276"/>
        <item x="357"/>
        <item x="101"/>
        <item x="501"/>
        <item x="712"/>
        <item x="382"/>
        <item x="818"/>
        <item x="243"/>
        <item x="250"/>
        <item x="13"/>
        <item x="673"/>
        <item x="117"/>
        <item x="33"/>
        <item x="776"/>
        <item x="647"/>
        <item x="316"/>
        <item x="679"/>
        <item x="58"/>
        <item x="634"/>
        <item x="393"/>
        <item x="764"/>
        <item x="559"/>
        <item x="806"/>
        <item x="623"/>
        <item x="351"/>
        <item x="577"/>
        <item x="578"/>
        <item x="404"/>
        <item x="230"/>
        <item x="312"/>
        <item x="603"/>
        <item x="224"/>
        <item x="253"/>
        <item x="354"/>
        <item x="753"/>
        <item x="736"/>
        <item x="488"/>
        <item x="529"/>
        <item x="740"/>
        <item x="158"/>
        <item x="659"/>
        <item x="100"/>
        <item x="792"/>
        <item x="267"/>
        <item x="829"/>
        <item x="576"/>
        <item x="648"/>
        <item x="157"/>
        <item x="884"/>
        <item x="377"/>
        <item x="787"/>
        <item x="456"/>
        <item x="486"/>
        <item x="857"/>
        <item x="445"/>
        <item x="305"/>
        <item x="491"/>
        <item x="860"/>
        <item x="370"/>
        <item x="344"/>
        <item x="513"/>
        <item x="586"/>
        <item x="817"/>
        <item x="769"/>
        <item x="803"/>
        <item t="default"/>
      </items>
    </pivotField>
    <pivotField dataField="1" showAll="0">
      <items count="715">
        <item x="1"/>
        <item x="2"/>
        <item x="9"/>
        <item x="21"/>
        <item x="46"/>
        <item x="39"/>
        <item x="30"/>
        <item x="117"/>
        <item x="22"/>
        <item x="14"/>
        <item x="49"/>
        <item x="34"/>
        <item x="40"/>
        <item x="32"/>
        <item x="127"/>
        <item x="116"/>
        <item x="227"/>
        <item x="454"/>
        <item x="64"/>
        <item x="33"/>
        <item x="45"/>
        <item x="42"/>
        <item x="86"/>
        <item x="59"/>
        <item x="76"/>
        <item x="294"/>
        <item x="144"/>
        <item x="488"/>
        <item x="347"/>
        <item x="6"/>
        <item x="16"/>
        <item x="15"/>
        <item x="91"/>
        <item x="162"/>
        <item x="220"/>
        <item x="211"/>
        <item x="8"/>
        <item x="216"/>
        <item x="163"/>
        <item x="146"/>
        <item x="267"/>
        <item x="10"/>
        <item x="475"/>
        <item x="89"/>
        <item x="12"/>
        <item x="58"/>
        <item x="121"/>
        <item x="129"/>
        <item x="349"/>
        <item x="415"/>
        <item x="71"/>
        <item x="329"/>
        <item x="93"/>
        <item x="222"/>
        <item x="20"/>
        <item x="525"/>
        <item x="240"/>
        <item x="164"/>
        <item x="312"/>
        <item x="249"/>
        <item x="208"/>
        <item x="254"/>
        <item x="229"/>
        <item x="633"/>
        <item x="562"/>
        <item x="273"/>
        <item x="35"/>
        <item x="523"/>
        <item x="275"/>
        <item x="406"/>
        <item x="19"/>
        <item x="215"/>
        <item x="57"/>
        <item x="81"/>
        <item x="37"/>
        <item x="375"/>
        <item x="259"/>
        <item x="190"/>
        <item x="480"/>
        <item x="148"/>
        <item x="168"/>
        <item x="199"/>
        <item x="278"/>
        <item x="503"/>
        <item x="73"/>
        <item x="41"/>
        <item x="434"/>
        <item x="560"/>
        <item x="176"/>
        <item x="299"/>
        <item x="0"/>
        <item x="431"/>
        <item x="51"/>
        <item x="330"/>
        <item x="302"/>
        <item x="361"/>
        <item x="698"/>
        <item x="206"/>
        <item x="137"/>
        <item x="709"/>
        <item x="470"/>
        <item x="296"/>
        <item x="395"/>
        <item x="262"/>
        <item x="138"/>
        <item x="258"/>
        <item x="25"/>
        <item x="325"/>
        <item x="557"/>
        <item x="449"/>
        <item x="166"/>
        <item x="637"/>
        <item x="586"/>
        <item x="186"/>
        <item x="380"/>
        <item x="99"/>
        <item x="501"/>
        <item x="252"/>
        <item x="679"/>
        <item x="61"/>
        <item x="196"/>
        <item x="473"/>
        <item x="243"/>
        <item x="159"/>
        <item x="546"/>
        <item x="100"/>
        <item x="688"/>
        <item x="173"/>
        <item x="280"/>
        <item x="237"/>
        <item x="231"/>
        <item x="460"/>
        <item x="207"/>
        <item x="499"/>
        <item x="301"/>
        <item x="77"/>
        <item x="372"/>
        <item x="92"/>
        <item x="139"/>
        <item x="693"/>
        <item x="172"/>
        <item x="544"/>
        <item x="315"/>
        <item x="289"/>
        <item x="82"/>
        <item x="151"/>
        <item x="545"/>
        <item x="391"/>
        <item x="345"/>
        <item x="520"/>
        <item x="47"/>
        <item x="458"/>
        <item x="178"/>
        <item x="340"/>
        <item x="389"/>
        <item x="649"/>
        <item x="479"/>
        <item x="360"/>
        <item x="484"/>
        <item x="286"/>
        <item x="403"/>
        <item x="439"/>
        <item x="202"/>
        <item x="108"/>
        <item x="239"/>
        <item x="510"/>
        <item x="213"/>
        <item x="230"/>
        <item x="66"/>
        <item x="466"/>
        <item x="357"/>
        <item x="266"/>
        <item x="624"/>
        <item x="165"/>
        <item x="257"/>
        <item x="125"/>
        <item x="638"/>
        <item x="182"/>
        <item x="459"/>
        <item x="11"/>
        <item x="414"/>
        <item x="429"/>
        <item x="691"/>
        <item x="219"/>
        <item x="140"/>
        <item x="534"/>
        <item x="506"/>
        <item x="120"/>
        <item x="87"/>
        <item x="255"/>
        <item x="581"/>
        <item x="97"/>
        <item x="370"/>
        <item x="607"/>
        <item x="442"/>
        <item x="70"/>
        <item x="577"/>
        <item x="18"/>
        <item x="344"/>
        <item x="68"/>
        <item x="192"/>
        <item x="291"/>
        <item x="60"/>
        <item x="411"/>
        <item x="612"/>
        <item x="629"/>
        <item x="124"/>
        <item x="123"/>
        <item x="24"/>
        <item x="67"/>
        <item x="269"/>
        <item x="401"/>
        <item x="424"/>
        <item x="632"/>
        <item x="131"/>
        <item x="63"/>
        <item x="646"/>
        <item x="214"/>
        <item x="513"/>
        <item x="335"/>
        <item x="416"/>
        <item x="354"/>
        <item x="699"/>
        <item x="556"/>
        <item x="626"/>
        <item x="69"/>
        <item x="270"/>
        <item x="265"/>
        <item x="54"/>
        <item x="281"/>
        <item x="3"/>
        <item x="85"/>
        <item x="477"/>
        <item x="593"/>
        <item x="561"/>
        <item x="324"/>
        <item x="482"/>
        <item x="576"/>
        <item x="48"/>
        <item x="604"/>
        <item x="528"/>
        <item x="667"/>
        <item x="464"/>
        <item x="135"/>
        <item x="575"/>
        <item x="558"/>
        <item x="644"/>
        <item x="453"/>
        <item x="472"/>
        <item x="653"/>
        <item x="323"/>
        <item x="98"/>
        <item x="264"/>
        <item x="194"/>
        <item x="481"/>
        <item x="551"/>
        <item x="618"/>
        <item x="170"/>
        <item x="421"/>
        <item x="136"/>
        <item x="536"/>
        <item x="436"/>
        <item x="587"/>
        <item x="80"/>
        <item x="167"/>
        <item x="423"/>
        <item x="179"/>
        <item x="676"/>
        <item x="478"/>
        <item x="181"/>
        <item x="157"/>
        <item x="105"/>
        <item x="118"/>
        <item x="210"/>
        <item x="382"/>
        <item x="319"/>
        <item x="308"/>
        <item x="363"/>
        <item x="486"/>
        <item x="611"/>
        <item x="497"/>
        <item x="668"/>
        <item x="537"/>
        <item x="161"/>
        <item x="427"/>
        <item x="712"/>
        <item x="643"/>
        <item x="175"/>
        <item x="540"/>
        <item x="677"/>
        <item x="451"/>
        <item x="342"/>
        <item x="601"/>
        <item x="397"/>
        <item x="132"/>
        <item x="571"/>
        <item x="90"/>
        <item x="390"/>
        <item x="113"/>
        <item x="681"/>
        <item x="538"/>
        <item x="65"/>
        <item x="702"/>
        <item x="218"/>
        <item x="362"/>
        <item x="141"/>
        <item x="583"/>
        <item x="524"/>
        <item x="565"/>
        <item x="400"/>
        <item x="189"/>
        <item x="590"/>
        <item x="238"/>
        <item x="683"/>
        <item x="248"/>
        <item x="358"/>
        <item x="5"/>
        <item x="310"/>
        <item x="614"/>
        <item x="433"/>
        <item x="184"/>
        <item x="246"/>
        <item x="531"/>
        <item x="169"/>
        <item x="588"/>
        <item x="567"/>
        <item x="596"/>
        <item x="112"/>
        <item x="437"/>
        <item x="692"/>
        <item x="407"/>
        <item x="435"/>
        <item x="272"/>
        <item x="232"/>
        <item x="234"/>
        <item x="154"/>
        <item x="36"/>
        <item x="393"/>
        <item x="268"/>
        <item x="408"/>
        <item x="619"/>
        <item x="578"/>
        <item x="462"/>
        <item x="283"/>
        <item x="350"/>
        <item x="580"/>
        <item x="355"/>
        <item x="467"/>
        <item x="530"/>
        <item x="133"/>
        <item x="307"/>
        <item x="455"/>
        <item x="700"/>
        <item x="532"/>
        <item x="394"/>
        <item x="126"/>
        <item x="645"/>
        <item x="26"/>
        <item x="366"/>
        <item x="114"/>
        <item x="183"/>
        <item x="306"/>
        <item x="104"/>
        <item x="263"/>
        <item x="341"/>
        <item x="515"/>
        <item x="221"/>
        <item x="334"/>
        <item x="656"/>
        <item x="694"/>
        <item x="396"/>
        <item x="378"/>
        <item x="555"/>
        <item x="598"/>
        <item x="374"/>
        <item x="388"/>
        <item x="84"/>
        <item x="188"/>
        <item x="642"/>
        <item x="285"/>
        <item x="79"/>
        <item x="705"/>
        <item x="28"/>
        <item x="661"/>
        <item x="204"/>
        <item x="456"/>
        <item x="134"/>
        <item x="158"/>
        <item x="402"/>
        <item x="260"/>
        <item x="425"/>
        <item x="102"/>
        <item x="274"/>
        <item x="613"/>
        <item x="584"/>
        <item x="493"/>
        <item x="292"/>
        <item x="195"/>
        <item x="321"/>
        <item x="514"/>
        <item x="320"/>
        <item x="594"/>
        <item x="359"/>
        <item x="55"/>
        <item x="639"/>
        <item x="592"/>
        <item x="539"/>
        <item x="52"/>
        <item x="627"/>
        <item x="226"/>
        <item x="542"/>
        <item x="655"/>
        <item x="353"/>
        <item x="328"/>
        <item x="365"/>
        <item x="282"/>
        <item x="690"/>
        <item x="620"/>
        <item x="147"/>
        <item x="322"/>
        <item x="244"/>
        <item x="303"/>
        <item x="152"/>
        <item x="242"/>
        <item x="115"/>
        <item x="516"/>
        <item x="574"/>
        <item x="142"/>
        <item x="78"/>
        <item x="106"/>
        <item x="505"/>
        <item x="284"/>
        <item x="376"/>
        <item x="678"/>
        <item x="674"/>
        <item x="377"/>
        <item x="109"/>
        <item x="621"/>
        <item x="485"/>
        <item x="711"/>
        <item x="122"/>
        <item x="96"/>
        <item x="75"/>
        <item x="703"/>
        <item x="704"/>
        <item x="338"/>
        <item x="650"/>
        <item x="111"/>
        <item x="564"/>
        <item x="600"/>
        <item x="153"/>
        <item x="610"/>
        <item x="203"/>
        <item x="448"/>
        <item x="443"/>
        <item x="547"/>
        <item x="332"/>
        <item x="185"/>
        <item x="369"/>
        <item x="426"/>
        <item x="62"/>
        <item x="309"/>
        <item x="27"/>
        <item x="502"/>
        <item x="288"/>
        <item x="31"/>
        <item x="250"/>
        <item x="671"/>
        <item x="287"/>
        <item x="563"/>
        <item x="554"/>
        <item x="405"/>
        <item x="412"/>
        <item x="682"/>
        <item x="150"/>
        <item x="156"/>
        <item x="686"/>
        <item x="103"/>
        <item x="56"/>
        <item x="277"/>
        <item x="74"/>
        <item x="43"/>
        <item x="541"/>
        <item x="684"/>
        <item x="128"/>
        <item x="381"/>
        <item x="438"/>
        <item x="398"/>
        <item x="494"/>
        <item x="180"/>
        <item x="441"/>
        <item x="193"/>
        <item x="489"/>
        <item x="251"/>
        <item x="669"/>
        <item x="428"/>
        <item x="660"/>
        <item x="318"/>
        <item x="119"/>
        <item x="572"/>
        <item x="543"/>
        <item x="487"/>
        <item x="399"/>
        <item x="552"/>
        <item x="130"/>
        <item x="469"/>
        <item x="527"/>
        <item x="550"/>
        <item x="569"/>
        <item x="444"/>
        <item x="517"/>
        <item x="409"/>
        <item x="573"/>
        <item x="553"/>
        <item x="7"/>
        <item x="348"/>
        <item x="535"/>
        <item x="404"/>
        <item x="605"/>
        <item x="591"/>
        <item x="171"/>
        <item x="187"/>
        <item x="641"/>
        <item x="384"/>
        <item x="290"/>
        <item x="496"/>
        <item x="297"/>
        <item x="44"/>
        <item x="617"/>
        <item x="295"/>
        <item x="298"/>
        <item x="468"/>
        <item x="261"/>
        <item x="654"/>
        <item x="339"/>
        <item x="461"/>
        <item x="710"/>
        <item x="595"/>
        <item x="446"/>
        <item x="247"/>
        <item x="101"/>
        <item x="500"/>
        <item x="149"/>
        <item x="430"/>
        <item x="368"/>
        <item x="410"/>
        <item x="356"/>
        <item x="463"/>
        <item x="383"/>
        <item x="155"/>
        <item x="160"/>
        <item x="608"/>
        <item x="529"/>
        <item x="343"/>
        <item x="177"/>
        <item x="50"/>
        <item x="634"/>
        <item x="327"/>
        <item x="331"/>
        <item x="664"/>
        <item x="373"/>
        <item x="253"/>
        <item x="72"/>
        <item x="110"/>
        <item x="680"/>
        <item x="635"/>
        <item x="522"/>
        <item x="706"/>
        <item x="504"/>
        <item x="696"/>
        <item x="197"/>
        <item x="191"/>
        <item x="300"/>
        <item x="625"/>
        <item x="256"/>
        <item x="658"/>
        <item x="518"/>
        <item x="413"/>
        <item x="367"/>
        <item x="201"/>
        <item x="582"/>
        <item x="314"/>
        <item x="224"/>
        <item x="457"/>
        <item x="452"/>
        <item x="233"/>
        <item x="228"/>
        <item x="689"/>
        <item x="465"/>
        <item x="445"/>
        <item x="417"/>
        <item x="241"/>
        <item x="83"/>
        <item x="23"/>
        <item x="622"/>
        <item x="602"/>
        <item x="589"/>
        <item x="648"/>
        <item x="235"/>
        <item x="662"/>
        <item x="630"/>
        <item x="337"/>
        <item x="198"/>
        <item x="387"/>
        <item x="701"/>
        <item x="317"/>
        <item x="512"/>
        <item x="707"/>
        <item x="708"/>
        <item x="670"/>
        <item x="603"/>
        <item x="566"/>
        <item x="599"/>
        <item x="672"/>
        <item x="386"/>
        <item x="521"/>
        <item x="585"/>
        <item x="17"/>
        <item x="420"/>
        <item x="615"/>
        <item x="579"/>
        <item x="509"/>
        <item x="351"/>
        <item x="304"/>
        <item x="606"/>
        <item x="652"/>
        <item x="675"/>
        <item x="447"/>
        <item x="663"/>
        <item x="519"/>
        <item x="4"/>
        <item x="316"/>
        <item x="88"/>
        <item x="371"/>
        <item x="212"/>
        <item x="597"/>
        <item x="276"/>
        <item x="507"/>
        <item x="508"/>
        <item x="379"/>
        <item x="498"/>
        <item x="223"/>
        <item x="471"/>
        <item x="483"/>
        <item x="209"/>
        <item x="474"/>
        <item x="685"/>
        <item x="548"/>
        <item x="364"/>
        <item x="145"/>
        <item x="687"/>
        <item x="107"/>
        <item x="628"/>
        <item x="174"/>
        <item x="432"/>
        <item x="293"/>
        <item x="95"/>
        <item x="279"/>
        <item x="205"/>
        <item x="38"/>
        <item x="352"/>
        <item x="245"/>
        <item x="29"/>
        <item x="217"/>
        <item x="631"/>
        <item x="336"/>
        <item x="666"/>
        <item x="313"/>
        <item x="225"/>
        <item x="568"/>
        <item x="13"/>
        <item x="640"/>
        <item x="570"/>
        <item x="526"/>
        <item x="533"/>
        <item x="53"/>
        <item x="346"/>
        <item x="476"/>
        <item x="659"/>
        <item x="651"/>
        <item x="492"/>
        <item x="490"/>
        <item x="491"/>
        <item x="311"/>
        <item x="200"/>
        <item x="511"/>
        <item x="559"/>
        <item x="673"/>
        <item x="419"/>
        <item x="623"/>
        <item x="450"/>
        <item x="609"/>
        <item x="616"/>
        <item x="94"/>
        <item x="236"/>
        <item x="549"/>
        <item x="333"/>
        <item x="713"/>
        <item x="143"/>
        <item x="695"/>
        <item x="647"/>
        <item x="418"/>
        <item x="392"/>
        <item x="385"/>
        <item x="422"/>
        <item x="271"/>
        <item x="440"/>
        <item x="326"/>
        <item x="697"/>
        <item x="305"/>
        <item x="495"/>
        <item x="636"/>
        <item x="665"/>
        <item x="657"/>
        <item t="default"/>
      </items>
    </pivotField>
  </pivotFields>
  <rowFields count="1">
    <field x="1"/>
  </rowFields>
  <rowItems count="16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 t="grand">
      <x/>
    </i>
  </rowItems>
  <colFields count="2">
    <field x="-2"/>
    <field x="2"/>
  </colFields>
  <colItems count="9">
    <i>
      <x/>
      <x/>
    </i>
    <i r="1">
      <x v="1"/>
    </i>
    <i i="1">
      <x v="1"/>
      <x/>
    </i>
    <i r="1" i="1">
      <x v="1"/>
    </i>
    <i i="2">
      <x v="2"/>
      <x/>
    </i>
    <i r="1" i="2">
      <x v="1"/>
    </i>
    <i t="grand">
      <x/>
    </i>
    <i t="grand" i="1">
      <x/>
    </i>
    <i t="grand" i="2">
      <x/>
    </i>
  </colItems>
  <dataFields count="3">
    <dataField name="Sum of num_clicks" fld="3" baseField="0" baseItem="0"/>
    <dataField name="Sum of num_starts" fld="4" baseField="0" baseItem="0"/>
    <dataField name="Sum of num_completes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17" cacheId="14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7">
  <location ref="I3:L23" firstHeaderRow="1" firstDataRow="2" firstDataCol="1" rowPageCount="1" colPageCount="1"/>
  <pivotFields count="6">
    <pivotField axis="axisRow" showAll="0">
      <items count="23">
        <item x="0"/>
        <item x="2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21"/>
        <item x="13"/>
        <item x="14"/>
        <item x="15"/>
        <item x="16"/>
        <item x="17"/>
        <item x="18"/>
        <item x="19"/>
        <item t="default"/>
      </items>
    </pivotField>
    <pivotField axis="axisPage" multipleItemSelectionAllowed="1" showAll="0" sortType="descending">
      <items count="169">
        <item h="1" x="150"/>
        <item h="1" x="117"/>
        <item h="1" x="42"/>
        <item h="1" x="75"/>
        <item h="1" x="64"/>
        <item h="1" x="144"/>
        <item h="1" x="125"/>
        <item h="1" x="26"/>
        <item h="1" x="32"/>
        <item h="1" x="87"/>
        <item h="1" x="37"/>
        <item h="1" x="62"/>
        <item h="1" x="116"/>
        <item h="1" x="94"/>
        <item h="1" x="122"/>
        <item h="1" x="23"/>
        <item h="1" x="148"/>
        <item h="1" x="126"/>
        <item h="1" x="145"/>
        <item h="1" x="140"/>
        <item h="1" x="3"/>
        <item h="1" x="8"/>
        <item h="1" x="10"/>
        <item h="1" x="113"/>
        <item h="1" x="0"/>
        <item h="1" x="33"/>
        <item h="1" x="112"/>
        <item h="1" x="43"/>
        <item h="1" x="28"/>
        <item h="1" x="19"/>
        <item h="1" x="11"/>
        <item h="1" x="81"/>
        <item h="1" x="135"/>
        <item h="1" x="27"/>
        <item h="1" x="77"/>
        <item h="1" x="123"/>
        <item h="1" x="66"/>
        <item h="1" x="157"/>
        <item h="1" x="54"/>
        <item h="1" x="12"/>
        <item h="1" x="13"/>
        <item h="1" x="41"/>
        <item h="1" x="49"/>
        <item h="1" x="142"/>
        <item h="1" x="147"/>
        <item h="1" x="44"/>
        <item h="1" x="153"/>
        <item h="1" x="30"/>
        <item h="1" x="50"/>
        <item h="1" x="9"/>
        <item h="1" x="17"/>
        <item h="1" x="65"/>
        <item h="1" x="20"/>
        <item h="1" x="167"/>
        <item h="1" x="31"/>
        <item h="1" x="59"/>
        <item h="1" x="92"/>
        <item h="1" x="101"/>
        <item h="1" x="36"/>
        <item h="1" x="90"/>
        <item h="1" x="149"/>
        <item h="1" x="146"/>
        <item h="1" x="69"/>
        <item h="1" x="55"/>
        <item h="1" x="151"/>
        <item h="1" x="70"/>
        <item h="1" x="72"/>
        <item h="1" x="111"/>
        <item h="1" x="84"/>
        <item h="1" x="4"/>
        <item h="1" x="45"/>
        <item h="1" x="137"/>
        <item h="1" x="88"/>
        <item h="1" x="57"/>
        <item h="1" x="61"/>
        <item h="1" x="67"/>
        <item h="1" x="78"/>
        <item h="1" x="95"/>
        <item h="1" x="119"/>
        <item h="1" x="109"/>
        <item h="1" x="51"/>
        <item h="1" x="58"/>
        <item h="1" x="89"/>
        <item h="1" x="110"/>
        <item h="1" x="155"/>
        <item h="1" x="5"/>
        <item h="1" x="121"/>
        <item h="1" x="15"/>
        <item h="1" x="63"/>
        <item h="1" x="115"/>
        <item h="1" x="82"/>
        <item h="1" x="24"/>
        <item h="1" x="132"/>
        <item h="1" x="93"/>
        <item h="1" x="105"/>
        <item h="1" x="79"/>
        <item h="1" x="133"/>
        <item h="1" x="73"/>
        <item h="1" x="18"/>
        <item h="1" x="138"/>
        <item h="1" x="159"/>
        <item h="1" x="106"/>
        <item h="1" x="52"/>
        <item h="1" x="29"/>
        <item h="1" x="162"/>
        <item h="1" x="46"/>
        <item h="1" x="127"/>
        <item h="1" x="85"/>
        <item h="1" x="114"/>
        <item h="1" x="120"/>
        <item h="1" x="21"/>
        <item h="1" x="98"/>
        <item h="1" x="99"/>
        <item h="1" x="68"/>
        <item h="1" x="141"/>
        <item h="1" x="130"/>
        <item h="1" x="35"/>
        <item h="1" x="1"/>
        <item h="1" x="96"/>
        <item h="1" x="165"/>
        <item h="1" x="161"/>
        <item h="1" x="131"/>
        <item h="1" x="80"/>
        <item h="1" x="160"/>
        <item h="1" x="163"/>
        <item h="1" x="136"/>
        <item h="1" x="56"/>
        <item h="1" x="102"/>
        <item h="1" x="166"/>
        <item h="1" x="39"/>
        <item h="1" x="134"/>
        <item h="1" x="152"/>
        <item h="1" x="25"/>
        <item h="1" x="128"/>
        <item h="1" x="53"/>
        <item h="1" x="107"/>
        <item h="1" x="164"/>
        <item h="1" x="71"/>
        <item h="1" x="76"/>
        <item h="1" x="97"/>
        <item h="1" x="34"/>
        <item h="1" x="118"/>
        <item h="1" x="74"/>
        <item h="1" x="6"/>
        <item h="1" x="100"/>
        <item h="1" x="139"/>
        <item h="1" x="129"/>
        <item h="1" x="40"/>
        <item h="1" x="16"/>
        <item h="1" x="108"/>
        <item h="1" x="86"/>
        <item h="1" x="156"/>
        <item h="1" x="22"/>
        <item h="1" x="60"/>
        <item x="14"/>
        <item h="1" x="7"/>
        <item h="1" x="47"/>
        <item h="1" x="143"/>
        <item h="1" x="83"/>
        <item h="1" x="124"/>
        <item h="1" x="2"/>
        <item h="1" x="154"/>
        <item h="1" x="104"/>
        <item h="1" x="91"/>
        <item h="1" x="38"/>
        <item h="1" x="103"/>
        <item h="1" x="158"/>
        <item h="1" x="4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Col" showAll="0">
      <items count="3">
        <item x="0"/>
        <item x="1"/>
        <item t="default"/>
      </items>
    </pivotField>
    <pivotField dataField="1" showAll="0">
      <items count="1172">
        <item x="1"/>
        <item x="20"/>
        <item x="8"/>
        <item x="93"/>
        <item x="50"/>
        <item x="59"/>
        <item x="284"/>
        <item x="10"/>
        <item x="135"/>
        <item x="30"/>
        <item x="314"/>
        <item x="15"/>
        <item x="164"/>
        <item x="263"/>
        <item x="180"/>
        <item x="55"/>
        <item x="422"/>
        <item x="62"/>
        <item x="406"/>
        <item x="147"/>
        <item x="198"/>
        <item x="246"/>
        <item x="523"/>
        <item x="61"/>
        <item x="36"/>
        <item x="589"/>
        <item x="23"/>
        <item x="200"/>
        <item x="38"/>
        <item x="324"/>
        <item x="54"/>
        <item x="394"/>
        <item x="310"/>
        <item x="331"/>
        <item x="17"/>
        <item x="70"/>
        <item x="373"/>
        <item x="25"/>
        <item x="6"/>
        <item x="504"/>
        <item x="429"/>
        <item x="664"/>
        <item x="39"/>
        <item x="272"/>
        <item x="46"/>
        <item x="195"/>
        <item x="24"/>
        <item x="241"/>
        <item x="980"/>
        <item x="217"/>
        <item x="401"/>
        <item x="451"/>
        <item x="108"/>
        <item x="9"/>
        <item x="779"/>
        <item x="82"/>
        <item x="73"/>
        <item x="262"/>
        <item x="347"/>
        <item x="457"/>
        <item x="124"/>
        <item x="326"/>
        <item x="332"/>
        <item x="153"/>
        <item x="1114"/>
        <item x="409"/>
        <item x="112"/>
        <item x="385"/>
        <item x="22"/>
        <item x="366"/>
        <item x="243"/>
        <item x="165"/>
        <item x="313"/>
        <item x="541"/>
        <item x="302"/>
        <item x="1160"/>
        <item x="416"/>
        <item x="383"/>
        <item x="269"/>
        <item x="219"/>
        <item x="363"/>
        <item x="830"/>
        <item x="344"/>
        <item x="201"/>
        <item x="168"/>
        <item x="412"/>
        <item x="914"/>
        <item x="824"/>
        <item x="40"/>
        <item x="396"/>
        <item x="321"/>
        <item x="975"/>
        <item x="304"/>
        <item x="114"/>
        <item x="515"/>
        <item x="335"/>
        <item x="293"/>
        <item x="604"/>
        <item x="77"/>
        <item x="259"/>
        <item x="334"/>
        <item x="490"/>
        <item x="1149"/>
        <item x="267"/>
        <item x="294"/>
        <item x="399"/>
        <item x="415"/>
        <item x="78"/>
        <item x="1065"/>
        <item x="1159"/>
        <item x="68"/>
        <item x="879"/>
        <item x="45"/>
        <item x="21"/>
        <item x="226"/>
        <item x="724"/>
        <item x="628"/>
        <item x="911"/>
        <item x="288"/>
        <item x="734"/>
        <item x="958"/>
        <item x="931"/>
        <item x="556"/>
        <item x="101"/>
        <item x="787"/>
        <item x="715"/>
        <item x="483"/>
        <item x="616"/>
        <item x="516"/>
        <item x="783"/>
        <item x="249"/>
        <item x="11"/>
        <item x="1170"/>
        <item x="742"/>
        <item x="1018"/>
        <item x="677"/>
        <item x="191"/>
        <item x="57"/>
        <item x="952"/>
        <item x="475"/>
        <item x="626"/>
        <item x="666"/>
        <item x="34"/>
        <item x="740"/>
        <item x="617"/>
        <item x="388"/>
        <item x="222"/>
        <item x="42"/>
        <item x="216"/>
        <item x="763"/>
        <item x="69"/>
        <item x="1150"/>
        <item x="91"/>
        <item x="181"/>
        <item x="237"/>
        <item x="903"/>
        <item x="248"/>
        <item x="436"/>
        <item x="438"/>
        <item x="96"/>
        <item x="423"/>
        <item x="883"/>
        <item x="234"/>
        <item x="203"/>
        <item x="264"/>
        <item x="349"/>
        <item x="1061"/>
        <item x="280"/>
        <item x="591"/>
        <item x="642"/>
        <item x="1068"/>
        <item x="439"/>
        <item x="463"/>
        <item x="586"/>
        <item x="431"/>
        <item x="602"/>
        <item x="652"/>
        <item x="256"/>
        <item x="89"/>
        <item x="424"/>
        <item x="1124"/>
        <item x="986"/>
        <item x="121"/>
        <item x="122"/>
        <item x="686"/>
        <item x="1034"/>
        <item x="807"/>
        <item x="1056"/>
        <item x="1143"/>
        <item x="333"/>
        <item x="295"/>
        <item x="353"/>
        <item x="809"/>
        <item x="28"/>
        <item x="649"/>
        <item x="775"/>
        <item x="792"/>
        <item x="660"/>
        <item x="110"/>
        <item x="847"/>
        <item x="281"/>
        <item x="1017"/>
        <item x="970"/>
        <item x="364"/>
        <item x="943"/>
        <item x="680"/>
        <item x="450"/>
        <item x="571"/>
        <item x="51"/>
        <item x="443"/>
        <item x="532"/>
        <item x="130"/>
        <item x="161"/>
        <item x="695"/>
        <item x="1126"/>
        <item x="647"/>
        <item x="913"/>
        <item x="102"/>
        <item x="480"/>
        <item x="687"/>
        <item x="910"/>
        <item x="1024"/>
        <item x="466"/>
        <item x="1094"/>
        <item x="343"/>
        <item x="298"/>
        <item x="527"/>
        <item x="183"/>
        <item x="239"/>
        <item x="575"/>
        <item x="426"/>
        <item x="435"/>
        <item x="674"/>
        <item x="232"/>
        <item x="522"/>
        <item x="116"/>
        <item x="498"/>
        <item x="683"/>
        <item x="554"/>
        <item x="266"/>
        <item x="83"/>
        <item x="933"/>
        <item x="204"/>
        <item x="993"/>
        <item x="682"/>
        <item x="552"/>
        <item x="213"/>
        <item x="80"/>
        <item x="502"/>
        <item x="833"/>
        <item x="1010"/>
        <item x="570"/>
        <item x="951"/>
        <item x="507"/>
        <item x="479"/>
        <item x="19"/>
        <item x="1044"/>
        <item x="942"/>
        <item x="813"/>
        <item x="727"/>
        <item x="172"/>
        <item x="311"/>
        <item x="372"/>
        <item x="72"/>
        <item x="538"/>
        <item x="762"/>
        <item x="1048"/>
        <item x="874"/>
        <item x="471"/>
        <item x="928"/>
        <item x="545"/>
        <item x="160"/>
        <item x="0"/>
        <item x="163"/>
        <item x="220"/>
        <item x="612"/>
        <item x="904"/>
        <item x="382"/>
        <item x="297"/>
        <item x="637"/>
        <item x="574"/>
        <item x="123"/>
        <item x="865"/>
        <item x="650"/>
        <item x="389"/>
        <item x="581"/>
        <item x="799"/>
        <item x="881"/>
        <item x="536"/>
        <item x="1148"/>
        <item x="381"/>
        <item x="831"/>
        <item x="758"/>
        <item x="835"/>
        <item x="732"/>
        <item x="760"/>
        <item x="455"/>
        <item x="1062"/>
        <item x="133"/>
        <item x="64"/>
        <item x="336"/>
        <item x="1046"/>
        <item x="197"/>
        <item x="1023"/>
        <item x="1154"/>
        <item x="606"/>
        <item x="497"/>
        <item x="1158"/>
        <item x="390"/>
        <item x="179"/>
        <item x="1129"/>
        <item x="71"/>
        <item x="1111"/>
        <item x="486"/>
        <item x="506"/>
        <item x="614"/>
        <item x="510"/>
        <item x="777"/>
        <item x="998"/>
        <item x="253"/>
        <item x="52"/>
        <item x="996"/>
        <item x="821"/>
        <item x="1009"/>
        <item x="675"/>
        <item x="702"/>
        <item x="836"/>
        <item x="971"/>
        <item x="643"/>
        <item x="474"/>
        <item x="1139"/>
        <item x="312"/>
        <item x="282"/>
        <item x="939"/>
        <item x="517"/>
        <item x="562"/>
        <item x="444"/>
        <item x="461"/>
        <item x="749"/>
        <item x="845"/>
        <item x="870"/>
        <item x="546"/>
        <item x="1113"/>
        <item x="85"/>
        <item x="959"/>
        <item x="894"/>
        <item x="178"/>
        <item x="368"/>
        <item x="1091"/>
        <item x="887"/>
        <item x="53"/>
        <item x="81"/>
        <item x="119"/>
        <item x="1030"/>
        <item x="1025"/>
        <item x="225"/>
        <item x="708"/>
        <item x="803"/>
        <item x="991"/>
        <item x="596"/>
        <item x="857"/>
        <item x="1167"/>
        <item x="860"/>
        <item x="467"/>
        <item x="576"/>
        <item x="673"/>
        <item x="109"/>
        <item x="623"/>
        <item x="1090"/>
        <item x="1059"/>
        <item x="339"/>
        <item x="245"/>
        <item x="421"/>
        <item x="655"/>
        <item x="1099"/>
        <item x="1058"/>
        <item x="542"/>
        <item x="654"/>
        <item x="316"/>
        <item x="1107"/>
        <item x="1142"/>
        <item x="338"/>
        <item x="134"/>
        <item x="1109"/>
        <item x="380"/>
        <item x="908"/>
        <item x="1166"/>
        <item x="1038"/>
        <item x="111"/>
        <item x="16"/>
        <item x="289"/>
        <item x="351"/>
        <item x="590"/>
        <item x="5"/>
        <item x="697"/>
        <item x="915"/>
        <item x="621"/>
        <item x="360"/>
        <item x="619"/>
        <item x="76"/>
        <item x="472"/>
        <item x="44"/>
        <item x="839"/>
        <item x="129"/>
        <item x="447"/>
        <item x="567"/>
        <item x="362"/>
        <item x="529"/>
        <item x="459"/>
        <item x="182"/>
        <item x="86"/>
        <item x="485"/>
        <item x="1035"/>
        <item x="1127"/>
        <item x="918"/>
        <item x="1027"/>
        <item x="559"/>
        <item x="789"/>
        <item x="27"/>
        <item x="193"/>
        <item x="87"/>
        <item x="1041"/>
        <item x="553"/>
        <item x="173"/>
        <item x="634"/>
        <item x="58"/>
        <item x="764"/>
        <item x="718"/>
        <item x="194"/>
        <item x="846"/>
        <item x="1155"/>
        <item x="150"/>
        <item x="508"/>
        <item x="230"/>
        <item x="319"/>
        <item x="1121"/>
        <item x="902"/>
        <item x="1074"/>
        <item x="236"/>
        <item x="511"/>
        <item x="871"/>
        <item x="743"/>
        <item x="184"/>
        <item x="672"/>
        <item x="499"/>
        <item x="1110"/>
        <item x="863"/>
        <item x="607"/>
        <item x="774"/>
        <item x="159"/>
        <item x="745"/>
        <item x="899"/>
        <item x="1057"/>
        <item x="585"/>
        <item x="595"/>
        <item x="534"/>
        <item x="67"/>
        <item x="84"/>
        <item x="139"/>
        <item x="407"/>
        <item x="1051"/>
        <item x="1157"/>
        <item x="705"/>
        <item x="733"/>
        <item x="106"/>
        <item x="215"/>
        <item x="387"/>
        <item x="254"/>
        <item x="694"/>
        <item x="844"/>
        <item x="268"/>
        <item x="162"/>
        <item x="1089"/>
        <item x="386"/>
        <item x="1098"/>
        <item x="206"/>
        <item x="600"/>
        <item x="1075"/>
        <item x="247"/>
        <item x="665"/>
        <item x="558"/>
        <item x="445"/>
        <item x="337"/>
        <item x="291"/>
        <item x="271"/>
        <item x="892"/>
        <item x="688"/>
        <item x="376"/>
        <item x="923"/>
        <item x="1036"/>
        <item x="141"/>
        <item x="1043"/>
        <item x="960"/>
        <item x="250"/>
        <item x="140"/>
        <item x="224"/>
        <item x="320"/>
        <item x="348"/>
        <item x="684"/>
        <item x="127"/>
        <item x="1033"/>
        <item x="375"/>
        <item x="767"/>
        <item x="872"/>
        <item x="171"/>
        <item x="350"/>
        <item x="852"/>
        <item x="641"/>
        <item x="941"/>
        <item x="801"/>
        <item x="392"/>
        <item x="379"/>
        <item x="837"/>
        <item x="981"/>
        <item x="953"/>
        <item x="528"/>
        <item x="258"/>
        <item x="174"/>
        <item x="781"/>
        <item x="969"/>
        <item x="886"/>
        <item x="1032"/>
        <item x="737"/>
        <item x="393"/>
        <item x="726"/>
        <item x="318"/>
        <item x="99"/>
        <item x="300"/>
        <item x="916"/>
        <item x="772"/>
        <item x="814"/>
        <item x="1117"/>
        <item x="41"/>
        <item x="79"/>
        <item x="982"/>
        <item x="930"/>
        <item x="648"/>
        <item x="187"/>
        <item x="509"/>
        <item x="1115"/>
        <item x="125"/>
        <item x="465"/>
        <item x="308"/>
        <item x="176"/>
        <item x="795"/>
        <item x="646"/>
        <item x="851"/>
        <item x="525"/>
        <item x="711"/>
        <item x="1116"/>
        <item x="651"/>
        <item x="218"/>
        <item x="210"/>
        <item x="65"/>
        <item x="464"/>
        <item x="867"/>
        <item x="512"/>
        <item x="12"/>
        <item x="987"/>
        <item x="60"/>
        <item x="395"/>
        <item x="994"/>
        <item x="551"/>
        <item x="530"/>
        <item x="565"/>
        <item x="1063"/>
        <item x="1084"/>
        <item x="656"/>
        <item x="212"/>
        <item x="599"/>
        <item x="598"/>
        <item x="437"/>
        <item x="838"/>
        <item x="468"/>
        <item x="658"/>
        <item x="177"/>
        <item x="638"/>
        <item x="937"/>
        <item x="104"/>
        <item x="573"/>
        <item x="1146"/>
        <item x="211"/>
        <item x="782"/>
        <item x="859"/>
        <item x="630"/>
        <item x="493"/>
        <item x="492"/>
        <item x="260"/>
        <item x="974"/>
        <item x="827"/>
        <item x="131"/>
        <item x="427"/>
        <item x="240"/>
        <item x="800"/>
        <item x="812"/>
        <item x="1053"/>
        <item x="361"/>
        <item x="765"/>
        <item x="961"/>
        <item x="369"/>
        <item x="662"/>
        <item x="469"/>
        <item x="700"/>
        <item x="719"/>
        <item x="954"/>
        <item x="826"/>
        <item x="98"/>
        <item x="841"/>
        <item x="94"/>
        <item x="920"/>
        <item x="739"/>
        <item x="723"/>
        <item x="712"/>
        <item x="786"/>
        <item x="305"/>
        <item x="1163"/>
        <item x="495"/>
        <item x="539"/>
        <item x="233"/>
        <item x="633"/>
        <item x="849"/>
        <item x="543"/>
        <item x="893"/>
        <item x="487"/>
        <item x="966"/>
        <item x="691"/>
        <item x="413"/>
        <item x="587"/>
        <item x="663"/>
        <item x="405"/>
        <item x="1130"/>
        <item x="488"/>
        <item x="32"/>
        <item x="639"/>
        <item x="138"/>
        <item x="676"/>
        <item x="519"/>
        <item x="327"/>
        <item x="1144"/>
        <item x="717"/>
        <item x="410"/>
        <item x="978"/>
        <item x="414"/>
        <item x="473"/>
        <item x="279"/>
        <item x="356"/>
        <item x="205"/>
        <item x="938"/>
        <item x="75"/>
        <item x="885"/>
        <item x="411"/>
        <item x="1162"/>
        <item x="1122"/>
        <item x="277"/>
        <item x="462"/>
        <item x="613"/>
        <item x="995"/>
        <item x="823"/>
        <item x="927"/>
        <item x="957"/>
        <item x="1002"/>
        <item x="866"/>
        <item x="843"/>
        <item x="404"/>
        <item x="208"/>
        <item x="1071"/>
        <item x="190"/>
        <item x="365"/>
        <item x="730"/>
        <item x="1079"/>
        <item x="888"/>
        <item x="209"/>
        <item x="1015"/>
        <item x="252"/>
        <item x="725"/>
        <item x="227"/>
        <item x="533"/>
        <item x="1102"/>
        <item x="273"/>
        <item x="577"/>
        <item x="478"/>
        <item x="384"/>
        <item x="815"/>
        <item x="671"/>
        <item x="1120"/>
        <item x="354"/>
        <item x="707"/>
        <item x="290"/>
        <item x="640"/>
        <item x="442"/>
        <item x="3"/>
        <item x="618"/>
        <item x="921"/>
        <item x="925"/>
        <item x="95"/>
        <item x="460"/>
        <item x="1141"/>
        <item x="900"/>
        <item x="592"/>
        <item x="169"/>
        <item x="1085"/>
        <item x="840"/>
        <item x="555"/>
        <item x="759"/>
        <item x="136"/>
        <item x="367"/>
        <item x="1073"/>
        <item x="955"/>
        <item x="274"/>
        <item x="1151"/>
        <item x="341"/>
        <item x="818"/>
        <item x="1092"/>
        <item x="47"/>
        <item x="834"/>
        <item x="912"/>
        <item x="780"/>
        <item x="584"/>
        <item x="992"/>
        <item x="710"/>
        <item x="419"/>
        <item x="906"/>
        <item x="1165"/>
        <item x="418"/>
        <item x="1164"/>
        <item x="755"/>
        <item x="301"/>
        <item x="1088"/>
        <item x="876"/>
        <item x="601"/>
        <item x="690"/>
        <item x="166"/>
        <item x="798"/>
        <item x="425"/>
        <item x="770"/>
        <item x="603"/>
        <item x="158"/>
        <item x="231"/>
        <item x="891"/>
        <item x="1082"/>
        <item x="796"/>
        <item x="593"/>
        <item x="731"/>
        <item x="1026"/>
        <item x="144"/>
        <item x="746"/>
        <item x="988"/>
        <item x="1078"/>
        <item x="1161"/>
        <item x="31"/>
        <item x="873"/>
        <item x="66"/>
        <item x="433"/>
        <item x="48"/>
        <item x="965"/>
        <item x="417"/>
        <item x="185"/>
        <item x="864"/>
        <item x="255"/>
        <item x="202"/>
        <item x="148"/>
        <item x="7"/>
        <item x="956"/>
        <item x="400"/>
        <item x="1050"/>
        <item x="430"/>
        <item x="794"/>
        <item x="157"/>
        <item x="276"/>
        <item x="1011"/>
        <item x="922"/>
        <item x="610"/>
        <item x="1135"/>
        <item x="608"/>
        <item x="950"/>
        <item x="948"/>
        <item x="635"/>
        <item x="408"/>
        <item x="653"/>
        <item x="776"/>
        <item x="750"/>
        <item x="862"/>
        <item x="699"/>
        <item x="74"/>
        <item x="1169"/>
        <item x="751"/>
        <item x="1118"/>
        <item x="967"/>
        <item x="207"/>
        <item x="146"/>
        <item x="569"/>
        <item x="822"/>
        <item x="342"/>
        <item x="563"/>
        <item x="518"/>
        <item x="496"/>
        <item x="963"/>
        <item x="766"/>
        <item x="524"/>
        <item x="706"/>
        <item x="1137"/>
        <item x="214"/>
        <item x="97"/>
        <item x="861"/>
        <item x="990"/>
        <item x="358"/>
        <item x="1128"/>
        <item x="890"/>
        <item x="704"/>
        <item x="299"/>
        <item x="501"/>
        <item x="819"/>
        <item x="56"/>
        <item x="917"/>
        <item x="223"/>
        <item x="1145"/>
        <item x="1097"/>
        <item x="156"/>
        <item x="669"/>
        <item x="644"/>
        <item x="1112"/>
        <item x="625"/>
        <item x="526"/>
        <item x="1005"/>
        <item x="192"/>
        <item x="997"/>
        <item x="875"/>
        <item x="548"/>
        <item x="579"/>
        <item x="869"/>
        <item x="549"/>
        <item x="244"/>
        <item x="756"/>
        <item x="155"/>
        <item x="564"/>
        <item x="1132"/>
        <item x="37"/>
        <item x="137"/>
        <item x="306"/>
        <item x="1007"/>
        <item x="377"/>
        <item x="481"/>
        <item x="769"/>
        <item x="692"/>
        <item x="816"/>
        <item x="1153"/>
        <item x="229"/>
        <item x="597"/>
        <item x="500"/>
        <item x="936"/>
        <item x="117"/>
        <item x="802"/>
        <item x="126"/>
        <item x="544"/>
        <item x="402"/>
        <item x="432"/>
        <item x="145"/>
        <item x="265"/>
        <item x="661"/>
        <item x="877"/>
        <item x="932"/>
        <item x="583"/>
        <item x="1029"/>
        <item x="540"/>
        <item x="689"/>
        <item x="744"/>
        <item x="1096"/>
        <item x="270"/>
        <item x="1134"/>
        <item x="929"/>
        <item x="189"/>
        <item x="454"/>
        <item x="196"/>
        <item x="561"/>
        <item x="446"/>
        <item x="29"/>
        <item x="275"/>
        <item x="713"/>
        <item x="747"/>
        <item x="609"/>
        <item x="1093"/>
        <item x="1105"/>
        <item x="482"/>
        <item x="118"/>
        <item x="238"/>
        <item x="1064"/>
        <item x="1012"/>
        <item x="92"/>
        <item x="149"/>
        <item x="105"/>
        <item x="703"/>
        <item x="378"/>
        <item x="668"/>
        <item x="611"/>
        <item x="701"/>
        <item x="167"/>
        <item x="13"/>
        <item x="103"/>
        <item x="698"/>
        <item x="340"/>
        <item x="521"/>
        <item x="738"/>
        <item x="858"/>
        <item x="1016"/>
        <item x="1001"/>
        <item x="1049"/>
        <item x="470"/>
        <item x="328"/>
        <item x="1140"/>
        <item x="90"/>
        <item x="170"/>
        <item x="811"/>
        <item x="1083"/>
        <item x="709"/>
        <item x="832"/>
        <item x="1008"/>
        <item x="154"/>
        <item x="636"/>
        <item x="1080"/>
        <item x="898"/>
        <item x="345"/>
        <item x="889"/>
        <item x="374"/>
        <item x="458"/>
        <item x="505"/>
        <item x="976"/>
        <item x="1095"/>
        <item x="808"/>
        <item x="434"/>
        <item x="477"/>
        <item x="568"/>
        <item x="972"/>
        <item x="884"/>
        <item x="622"/>
        <item x="287"/>
        <item x="1019"/>
        <item x="35"/>
        <item x="1067"/>
        <item x="805"/>
        <item x="494"/>
        <item x="572"/>
        <item x="257"/>
        <item x="945"/>
        <item x="1055"/>
        <item x="1152"/>
        <item x="670"/>
        <item x="18"/>
        <item x="323"/>
        <item x="1100"/>
        <item x="440"/>
        <item x="964"/>
        <item x="142"/>
        <item x="791"/>
        <item x="26"/>
        <item x="1028"/>
        <item x="107"/>
        <item x="806"/>
        <item x="909"/>
        <item x="989"/>
        <item x="940"/>
        <item x="1104"/>
        <item x="547"/>
        <item x="4"/>
        <item x="901"/>
        <item x="659"/>
        <item x="962"/>
        <item x="797"/>
        <item x="303"/>
        <item x="371"/>
        <item x="785"/>
        <item x="934"/>
        <item x="1147"/>
        <item x="788"/>
        <item x="307"/>
        <item x="535"/>
        <item x="398"/>
        <item x="714"/>
        <item x="924"/>
        <item x="283"/>
        <item x="919"/>
        <item x="1081"/>
        <item x="720"/>
        <item x="848"/>
        <item x="1014"/>
        <item x="235"/>
        <item x="1123"/>
        <item x="693"/>
        <item x="741"/>
        <item x="1119"/>
        <item x="735"/>
        <item x="43"/>
        <item x="100"/>
        <item x="428"/>
        <item x="983"/>
        <item x="357"/>
        <item x="456"/>
        <item x="907"/>
        <item x="947"/>
        <item x="645"/>
        <item x="804"/>
        <item x="491"/>
        <item x="667"/>
        <item x="1087"/>
        <item x="278"/>
        <item x="315"/>
        <item x="748"/>
        <item x="322"/>
        <item x="14"/>
        <item x="896"/>
        <item x="132"/>
        <item x="1040"/>
        <item x="828"/>
        <item x="33"/>
        <item x="1037"/>
        <item x="854"/>
        <item x="944"/>
        <item x="403"/>
        <item x="905"/>
        <item x="63"/>
        <item x="829"/>
        <item x="503"/>
        <item x="1022"/>
        <item x="973"/>
        <item x="722"/>
        <item x="1069"/>
        <item x="817"/>
        <item x="359"/>
        <item x="449"/>
        <item x="489"/>
        <item x="753"/>
        <item x="754"/>
        <item x="514"/>
        <item x="352"/>
        <item x="968"/>
        <item x="285"/>
        <item x="793"/>
        <item x="286"/>
        <item x="1045"/>
        <item x="452"/>
        <item x="1003"/>
        <item x="513"/>
        <item x="977"/>
        <item x="627"/>
        <item x="679"/>
        <item x="985"/>
        <item x="1156"/>
        <item x="880"/>
        <item x="113"/>
        <item x="1108"/>
        <item x="1052"/>
        <item x="152"/>
        <item x="1021"/>
        <item x="151"/>
        <item x="550"/>
        <item x="346"/>
        <item x="605"/>
        <item x="537"/>
        <item x="946"/>
        <item x="1101"/>
        <item x="1000"/>
        <item x="397"/>
        <item x="729"/>
        <item x="825"/>
        <item x="330"/>
        <item x="773"/>
        <item x="1168"/>
        <item x="778"/>
        <item x="784"/>
        <item x="484"/>
        <item x="1070"/>
        <item x="1047"/>
        <item x="228"/>
        <item x="292"/>
        <item x="188"/>
        <item x="355"/>
        <item x="728"/>
        <item x="325"/>
        <item x="175"/>
        <item x="115"/>
        <item x="309"/>
        <item x="582"/>
        <item x="999"/>
        <item x="882"/>
        <item x="624"/>
        <item x="420"/>
        <item x="678"/>
        <item x="868"/>
        <item x="926"/>
        <item x="317"/>
        <item x="329"/>
        <item x="578"/>
        <item x="685"/>
        <item x="261"/>
        <item x="716"/>
        <item x="242"/>
        <item x="1042"/>
        <item x="984"/>
        <item x="979"/>
        <item x="761"/>
        <item x="629"/>
        <item x="696"/>
        <item x="1131"/>
        <item x="771"/>
        <item x="1020"/>
        <item x="566"/>
        <item x="1106"/>
        <item x="391"/>
        <item x="594"/>
        <item x="448"/>
        <item x="221"/>
        <item x="631"/>
        <item x="557"/>
        <item x="1136"/>
        <item x="878"/>
        <item x="752"/>
        <item x="453"/>
        <item x="370"/>
        <item x="949"/>
        <item x="580"/>
        <item x="2"/>
        <item x="1004"/>
        <item x="531"/>
        <item x="1138"/>
        <item x="820"/>
        <item x="88"/>
        <item x="588"/>
        <item x="736"/>
        <item x="1133"/>
        <item x="855"/>
        <item x="251"/>
        <item x="853"/>
        <item x="842"/>
        <item x="1076"/>
        <item x="1013"/>
        <item x="681"/>
        <item x="441"/>
        <item x="935"/>
        <item x="128"/>
        <item x="1060"/>
        <item x="1039"/>
        <item x="757"/>
        <item x="897"/>
        <item x="1072"/>
        <item x="1077"/>
        <item x="615"/>
        <item x="520"/>
        <item x="143"/>
        <item x="199"/>
        <item x="790"/>
        <item x="721"/>
        <item x="1006"/>
        <item x="1054"/>
        <item x="560"/>
        <item x="1086"/>
        <item x="632"/>
        <item x="856"/>
        <item x="186"/>
        <item x="120"/>
        <item x="620"/>
        <item x="1103"/>
        <item x="296"/>
        <item x="895"/>
        <item x="1031"/>
        <item x="49"/>
        <item x="850"/>
        <item x="1125"/>
        <item x="810"/>
        <item x="476"/>
        <item x="768"/>
        <item x="1066"/>
        <item x="657"/>
        <item t="default"/>
      </items>
    </pivotField>
    <pivotField showAll="0"/>
    <pivotField showAll="0"/>
  </pivotFields>
  <rowFields count="1">
    <field x="0"/>
  </rowFields>
  <rowItems count="19"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rowItems>
  <colFields count="1">
    <field x="2"/>
  </colFields>
  <colItems count="3">
    <i>
      <x/>
    </i>
    <i>
      <x v="1"/>
    </i>
    <i t="grand">
      <x/>
    </i>
  </colItems>
  <pageFields count="1">
    <pageField fld="1" hier="-1"/>
  </pageFields>
  <dataFields count="1">
    <dataField name="Sum of num_clicks" fld="3" baseField="0" baseItem="0" numFmtId="164"/>
  </dataFields>
  <formats count="1">
    <format dxfId="0">
      <pivotArea outline="0" collapsedLevelsAreSubtotals="1" fieldPosition="0"/>
    </format>
  </formats>
  <chartFormats count="7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0"/>
          </reference>
        </references>
      </pivotArea>
    </chartFormat>
    <chartFormat chart="0" format="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2" count="1" selected="0">
            <x v="0"/>
          </reference>
        </references>
      </pivotArea>
    </chartFormat>
    <chartFormat chart="0" format="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2" count="1" selected="0">
            <x v="0"/>
          </reference>
        </references>
      </pivotArea>
    </chartFormat>
    <chartFormat chart="0" format="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2" count="1" selected="0">
            <x v="0"/>
          </reference>
        </references>
      </pivotArea>
    </chartFormat>
    <chartFormat chart="0" format="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2" count="1" selected="0">
            <x v="0"/>
          </reference>
        </references>
      </pivotArea>
    </chartFormat>
    <chartFormat chart="0" format="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2" count="1" selected="0">
            <x v="0"/>
          </reference>
        </references>
      </pivotArea>
    </chartFormat>
    <chartFormat chart="0" format="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2" count="1" selected="0">
            <x v="0"/>
          </reference>
        </references>
      </pivotArea>
    </chartFormat>
    <chartFormat chart="0" format="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2" count="1" selected="0">
            <x v="0"/>
          </reference>
        </references>
      </pivotArea>
    </chartFormat>
    <chartFormat chart="0" format="1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2" count="1" selected="0">
            <x v="0"/>
          </reference>
        </references>
      </pivotArea>
    </chartFormat>
    <chartFormat chart="0" format="1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2" count="1" selected="0">
            <x v="0"/>
          </reference>
        </references>
      </pivotArea>
    </chartFormat>
    <chartFormat chart="0" format="1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2" count="1" selected="0">
            <x v="0"/>
          </reference>
        </references>
      </pivotArea>
    </chartFormat>
    <chartFormat chart="0" format="1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3"/>
          </reference>
          <reference field="2" count="1" selected="0">
            <x v="0"/>
          </reference>
        </references>
      </pivotArea>
    </chartFormat>
    <chartFormat chart="0" format="1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2" count="1" selected="0">
            <x v="0"/>
          </reference>
        </references>
      </pivotArea>
    </chartFormat>
    <chartFormat chart="0" format="1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2" count="1" selected="0">
            <x v="0"/>
          </reference>
        </references>
      </pivotArea>
    </chartFormat>
    <chartFormat chart="0" format="1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6"/>
          </reference>
          <reference field="2" count="1" selected="0">
            <x v="0"/>
          </reference>
        </references>
      </pivotArea>
    </chartFormat>
    <chartFormat chart="0" format="1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7"/>
          </reference>
          <reference field="2" count="1" selected="0">
            <x v="0"/>
          </reference>
        </references>
      </pivotArea>
    </chartFormat>
    <chartFormat chart="0" format="1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2" count="1" selected="0">
            <x v="0"/>
          </reference>
        </references>
      </pivotArea>
    </chartFormat>
    <chartFormat chart="0" format="1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2" count="1" selected="0">
            <x v="0"/>
          </reference>
        </references>
      </pivotArea>
    </chartFormat>
    <chartFormat chart="0" format="2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0"/>
          </reference>
          <reference field="2" count="1" selected="0">
            <x v="0"/>
          </reference>
        </references>
      </pivotArea>
    </chartFormat>
    <chartFormat chart="0" format="2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1"/>
          </reference>
          <reference field="2" count="1" selected="0">
            <x v="0"/>
          </reference>
        </references>
      </pivotArea>
    </chartFormat>
    <chartFormat chart="0" format="2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1"/>
          </reference>
        </references>
      </pivotArea>
    </chartFormat>
    <chartFormat chart="0" format="2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2" count="1" selected="0">
            <x v="1"/>
          </reference>
        </references>
      </pivotArea>
    </chartFormat>
    <chartFormat chart="0" format="2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"/>
          </reference>
        </references>
      </pivotArea>
    </chartFormat>
    <chartFormat chart="0" format="2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2" count="1" selected="0">
            <x v="1"/>
          </reference>
        </references>
      </pivotArea>
    </chartFormat>
    <chartFormat chart="0" format="2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2" count="1" selected="0">
            <x v="1"/>
          </reference>
        </references>
      </pivotArea>
    </chartFormat>
    <chartFormat chart="0" format="2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2" count="1" selected="0">
            <x v="1"/>
          </reference>
        </references>
      </pivotArea>
    </chartFormat>
    <chartFormat chart="0" format="2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2" count="1" selected="0">
            <x v="1"/>
          </reference>
        </references>
      </pivotArea>
    </chartFormat>
    <chartFormat chart="0" format="2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2" count="1" selected="0">
            <x v="1"/>
          </reference>
        </references>
      </pivotArea>
    </chartFormat>
    <chartFormat chart="0" format="3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2" count="1" selected="0">
            <x v="1"/>
          </reference>
        </references>
      </pivotArea>
    </chartFormat>
    <chartFormat chart="0" format="3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2" count="1" selected="0">
            <x v="1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2" count="1" selected="0">
            <x v="1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2" count="1" selected="0">
            <x v="1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2" count="1" selected="0">
            <x v="1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3"/>
          </reference>
          <reference field="2" count="1" selected="0">
            <x v="1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2" count="1" selected="0">
            <x v="1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2" count="1" selected="0">
            <x v="1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6"/>
          </reference>
          <reference field="2" count="1" selected="0">
            <x v="1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7"/>
          </reference>
          <reference field="2" count="1" selected="0">
            <x v="1"/>
          </reference>
        </references>
      </pivotArea>
    </chartFormat>
    <chartFormat chart="0" format="4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2" count="1" selected="0">
            <x v="1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2" count="1" selected="0">
            <x v="1"/>
          </reference>
        </references>
      </pivotArea>
    </chartFormat>
    <chartFormat chart="0" format="4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0"/>
          </reference>
          <reference field="2" count="1" selected="0">
            <x v="1"/>
          </reference>
        </references>
      </pivotArea>
    </chartFormat>
    <chartFormat chart="0" format="4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1"/>
          </reference>
          <reference field="2" count="1" selected="0">
            <x v="1"/>
          </reference>
        </references>
      </pivotArea>
    </chartFormat>
    <chartFormat chart="0" format="4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4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54"/>
          </reference>
          <reference field="2" count="1" selected="0">
            <x v="0"/>
          </reference>
        </references>
      </pivotArea>
    </chartFormat>
    <chartFormat chart="0" format="4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50"/>
          </reference>
          <reference field="2" count="1" selected="0">
            <x v="0"/>
          </reference>
        </references>
      </pivotArea>
    </chartFormat>
    <chartFormat chart="0" format="4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4"/>
          </reference>
          <reference field="2" count="1" selected="0">
            <x v="0"/>
          </reference>
        </references>
      </pivotArea>
    </chartFormat>
    <chartFormat chart="0" format="4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79"/>
          </reference>
          <reference field="2" count="1" selected="0">
            <x v="0"/>
          </reference>
        </references>
      </pivotArea>
    </chartFormat>
    <chartFormat chart="0" format="4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85"/>
          </reference>
          <reference field="2" count="1" selected="0">
            <x v="0"/>
          </reference>
        </references>
      </pivotArea>
    </chartFormat>
    <chartFormat chart="0" format="5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7"/>
          </reference>
          <reference field="2" count="1" selected="0">
            <x v="0"/>
          </reference>
        </references>
      </pivotArea>
    </chartFormat>
    <chartFormat chart="0" format="5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0"/>
          </reference>
          <reference field="2" count="1" selected="0">
            <x v="0"/>
          </reference>
        </references>
      </pivotArea>
    </chartFormat>
    <chartFormat chart="0" format="5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5"/>
          </reference>
          <reference field="2" count="1" selected="0">
            <x v="0"/>
          </reference>
        </references>
      </pivotArea>
    </chartFormat>
    <chartFormat chart="0" format="5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3"/>
          </reference>
          <reference field="2" count="1" selected="0">
            <x v="0"/>
          </reference>
        </references>
      </pivotArea>
    </chartFormat>
    <chartFormat chart="0" format="5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1"/>
          </reference>
          <reference field="2" count="1" selected="0">
            <x v="0"/>
          </reference>
        </references>
      </pivotArea>
    </chartFormat>
    <chartFormat chart="0" format="5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74"/>
          </reference>
          <reference field="2" count="1" selected="0">
            <x v="0"/>
          </reference>
        </references>
      </pivotArea>
    </chartFormat>
    <chartFormat chart="0" format="5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3"/>
          </reference>
          <reference field="2" count="1" selected="0">
            <x v="0"/>
          </reference>
        </references>
      </pivotArea>
    </chartFormat>
    <chartFormat chart="0" format="5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47"/>
          </reference>
          <reference field="2" count="1" selected="0">
            <x v="0"/>
          </reference>
        </references>
      </pivotArea>
    </chartFormat>
    <chartFormat chart="0" format="5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56"/>
          </reference>
          <reference field="2" count="1" selected="0">
            <x v="0"/>
          </reference>
        </references>
      </pivotArea>
    </chartFormat>
    <chartFormat chart="0" format="5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0"/>
          </reference>
          <reference field="2" count="1" selected="0">
            <x v="1"/>
          </reference>
        </references>
      </pivotArea>
    </chartFormat>
    <chartFormat chart="0" format="6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4"/>
          </reference>
          <reference field="2" count="1" selected="0">
            <x v="1"/>
          </reference>
        </references>
      </pivotArea>
    </chartFormat>
    <chartFormat chart="0" format="6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54"/>
          </reference>
          <reference field="2" count="1" selected="0">
            <x v="1"/>
          </reference>
        </references>
      </pivotArea>
    </chartFormat>
    <chartFormat chart="0" format="6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74"/>
          </reference>
          <reference field="2" count="1" selected="0">
            <x v="1"/>
          </reference>
        </references>
      </pivotArea>
    </chartFormat>
    <chartFormat chart="0" format="6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"/>
          </reference>
        </references>
      </pivotArea>
    </chartFormat>
    <chartFormat chart="0" format="6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50"/>
          </reference>
          <reference field="2" count="1" selected="0">
            <x v="1"/>
          </reference>
        </references>
      </pivotArea>
    </chartFormat>
    <chartFormat chart="0" format="6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79"/>
          </reference>
          <reference field="2" count="1" selected="0">
            <x v="1"/>
          </reference>
        </references>
      </pivotArea>
    </chartFormat>
    <chartFormat chart="0" format="6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85"/>
          </reference>
          <reference field="2" count="1" selected="0">
            <x v="1"/>
          </reference>
        </references>
      </pivotArea>
    </chartFormat>
    <chartFormat chart="0" format="6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5"/>
          </reference>
          <reference field="2" count="1" selected="0">
            <x v="1"/>
          </reference>
        </references>
      </pivotArea>
    </chartFormat>
    <chartFormat chart="0" format="6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0"/>
          </reference>
          <reference field="2" count="1" selected="0">
            <x v="1"/>
          </reference>
        </references>
      </pivotArea>
    </chartFormat>
    <chartFormat chart="0" format="6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3"/>
          </reference>
          <reference field="2" count="1" selected="0">
            <x v="1"/>
          </reference>
        </references>
      </pivotArea>
    </chartFormat>
    <chartFormat chart="0" format="7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7"/>
          </reference>
          <reference field="2" count="1" selected="0">
            <x v="1"/>
          </reference>
        </references>
      </pivotArea>
    </chartFormat>
    <chartFormat chart="0" format="7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56"/>
          </reference>
          <reference field="2" count="1" selected="0">
            <x v="1"/>
          </reference>
        </references>
      </pivotArea>
    </chartFormat>
    <chartFormat chart="0" format="7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47"/>
          </reference>
          <reference field="2" count="1" selected="0">
            <x v="1"/>
          </reference>
        </references>
      </pivotArea>
    </chartFormat>
    <chartFormat chart="0" format="7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3"/>
          </reference>
          <reference field="2" count="1" selected="0">
            <x v="1"/>
          </reference>
        </references>
      </pivotArea>
    </chartFormat>
    <chartFormat chart="0" format="7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1"/>
          </reference>
          <reference field="2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F1A63-47A7-2B40-9A8A-4D13D1EF4CEA}">
  <dimension ref="A3:D25"/>
  <sheetViews>
    <sheetView zoomScale="150" zoomScaleNormal="150" workbookViewId="0">
      <selection activeCell="A6" sqref="A6"/>
    </sheetView>
  </sheetViews>
  <sheetFormatPr baseColWidth="10" defaultRowHeight="16" x14ac:dyDescent="0.2"/>
  <cols>
    <col min="1" max="1" width="38.1640625" bestFit="1" customWidth="1"/>
    <col min="2" max="2" width="15.5" bestFit="1" customWidth="1"/>
    <col min="3" max="3" width="10.5" bestFit="1" customWidth="1"/>
    <col min="4" max="4" width="10.83203125" bestFit="1" customWidth="1"/>
    <col min="5" max="5" width="17" bestFit="1" customWidth="1"/>
    <col min="6" max="6" width="21.6640625" bestFit="1" customWidth="1"/>
    <col min="7" max="7" width="21.83203125" bestFit="1" customWidth="1"/>
  </cols>
  <sheetData>
    <row r="3" spans="1:4" x14ac:dyDescent="0.2">
      <c r="A3" s="1" t="s">
        <v>184</v>
      </c>
      <c r="B3" s="1" t="s">
        <v>178</v>
      </c>
    </row>
    <row r="4" spans="1:4" x14ac:dyDescent="0.2">
      <c r="A4" s="1" t="s">
        <v>175</v>
      </c>
      <c r="B4" t="s">
        <v>7</v>
      </c>
      <c r="C4" t="s">
        <v>9</v>
      </c>
      <c r="D4" t="s">
        <v>176</v>
      </c>
    </row>
    <row r="5" spans="1:4" x14ac:dyDescent="0.2">
      <c r="A5" s="2" t="s">
        <v>6</v>
      </c>
      <c r="B5" s="7">
        <v>3.0607586127832629E-2</v>
      </c>
      <c r="C5" s="7">
        <v>0.16294711535021503</v>
      </c>
      <c r="D5" s="7">
        <v>0.10065090297995219</v>
      </c>
    </row>
    <row r="6" spans="1:4" x14ac:dyDescent="0.2">
      <c r="A6" s="2" t="s">
        <v>22</v>
      </c>
      <c r="B6" s="7">
        <v>0.1539771961616824</v>
      </c>
      <c r="C6" s="7">
        <v>0.11302653892112738</v>
      </c>
      <c r="D6" s="7">
        <v>0.1323032497810599</v>
      </c>
    </row>
    <row r="7" spans="1:4" x14ac:dyDescent="0.2">
      <c r="A7" s="2" t="s">
        <v>68</v>
      </c>
      <c r="B7" s="7">
        <v>4.4270178621351297E-2</v>
      </c>
      <c r="C7" s="7">
        <v>0.10818599426146812</v>
      </c>
      <c r="D7" s="7">
        <v>7.8098889914554187E-2</v>
      </c>
    </row>
    <row r="8" spans="1:4" x14ac:dyDescent="0.2">
      <c r="A8" s="2" t="s">
        <v>82</v>
      </c>
      <c r="B8" s="7">
        <v>0.21209902714618151</v>
      </c>
      <c r="C8" s="7">
        <v>9.3113403979764878E-2</v>
      </c>
      <c r="D8" s="7">
        <v>0.14912352955099528</v>
      </c>
    </row>
    <row r="9" spans="1:4" x14ac:dyDescent="0.2">
      <c r="A9" s="2" t="s">
        <v>93</v>
      </c>
      <c r="B9" s="7">
        <v>0.15356287346866535</v>
      </c>
      <c r="C9" s="7">
        <v>8.5332040613350313E-2</v>
      </c>
      <c r="D9" s="7">
        <v>0.11745035385452911</v>
      </c>
    </row>
    <row r="10" spans="1:4" x14ac:dyDescent="0.2">
      <c r="A10" s="2" t="s">
        <v>13</v>
      </c>
      <c r="B10" s="7">
        <v>6.5348342809791696E-2</v>
      </c>
      <c r="C10" s="7">
        <v>6.7751525862747478E-2</v>
      </c>
      <c r="D10" s="7">
        <v>6.6620275036095522E-2</v>
      </c>
    </row>
    <row r="11" spans="1:4" x14ac:dyDescent="0.2">
      <c r="A11" s="2" t="s">
        <v>55</v>
      </c>
      <c r="B11" s="7">
        <v>6.0338256264619457E-6</v>
      </c>
      <c r="C11" s="7">
        <v>3.8210966177007234E-2</v>
      </c>
      <c r="D11" s="7">
        <v>2.0226750929016071E-2</v>
      </c>
    </row>
    <row r="12" spans="1:4" x14ac:dyDescent="0.2">
      <c r="A12" s="2" t="s">
        <v>48</v>
      </c>
      <c r="B12" s="7">
        <v>3.7007463842299933E-4</v>
      </c>
      <c r="C12" s="7">
        <v>3.7039289624133317E-2</v>
      </c>
      <c r="D12" s="7">
        <v>1.9777982910838127E-2</v>
      </c>
    </row>
    <row r="13" spans="1:4" x14ac:dyDescent="0.2">
      <c r="A13" s="2" t="s">
        <v>100</v>
      </c>
      <c r="B13" s="7">
        <v>2.009867316174474E-2</v>
      </c>
      <c r="C13" s="7">
        <v>3.4865874339031322E-2</v>
      </c>
      <c r="D13" s="7">
        <v>2.7914506852233189E-2</v>
      </c>
    </row>
    <row r="14" spans="1:4" x14ac:dyDescent="0.2">
      <c r="A14" s="2" t="s">
        <v>41</v>
      </c>
      <c r="B14" s="7">
        <v>2.8775314412597019E-2</v>
      </c>
      <c r="C14" s="7">
        <v>3.2041328877981064E-2</v>
      </c>
      <c r="D14" s="7">
        <v>3.0503917252479348E-2</v>
      </c>
    </row>
    <row r="15" spans="1:4" x14ac:dyDescent="0.2">
      <c r="A15" s="2" t="s">
        <v>16</v>
      </c>
      <c r="B15" s="7">
        <v>4.8910190528100535E-2</v>
      </c>
      <c r="C15" s="7">
        <v>2.9443963450846829E-2</v>
      </c>
      <c r="D15" s="7">
        <v>3.8607304314895029E-2</v>
      </c>
    </row>
    <row r="16" spans="1:4" x14ac:dyDescent="0.2">
      <c r="A16" s="2" t="s">
        <v>34</v>
      </c>
      <c r="B16" s="7">
        <v>4.5026418099867863E-2</v>
      </c>
      <c r="C16" s="7">
        <v>2.676431234213671E-2</v>
      </c>
      <c r="D16" s="7">
        <v>3.536083694288622E-2</v>
      </c>
    </row>
    <row r="17" spans="1:4" x14ac:dyDescent="0.2">
      <c r="A17" s="2" t="s">
        <v>76</v>
      </c>
      <c r="B17" s="7">
        <v>3.0742341566823612E-2</v>
      </c>
      <c r="C17" s="7">
        <v>2.563377863005073E-2</v>
      </c>
      <c r="D17" s="7">
        <v>2.8038533456413169E-2</v>
      </c>
    </row>
    <row r="18" spans="1:4" x14ac:dyDescent="0.2">
      <c r="A18" s="2" t="s">
        <v>108</v>
      </c>
      <c r="B18" s="7">
        <v>3.3509856254160829E-2</v>
      </c>
      <c r="C18" s="7">
        <v>2.5032735390713882E-2</v>
      </c>
      <c r="D18" s="7">
        <v>2.9023172146086299E-2</v>
      </c>
    </row>
    <row r="19" spans="1:4" x14ac:dyDescent="0.2">
      <c r="A19" s="2" t="s">
        <v>104</v>
      </c>
      <c r="B19" s="7">
        <v>1.2791710328099325E-2</v>
      </c>
      <c r="C19" s="7">
        <v>2.4129381712543915E-2</v>
      </c>
      <c r="D19" s="7">
        <v>1.8792397453194158E-2</v>
      </c>
    </row>
    <row r="20" spans="1:4" x14ac:dyDescent="0.2">
      <c r="A20" s="2" t="s">
        <v>38</v>
      </c>
      <c r="B20" s="7">
        <v>3.9483343624358153E-2</v>
      </c>
      <c r="C20" s="7">
        <v>2.4129381712543915E-2</v>
      </c>
      <c r="D20" s="7">
        <v>3.1356955194205782E-2</v>
      </c>
    </row>
    <row r="21" spans="1:4" x14ac:dyDescent="0.2">
      <c r="A21" s="2" t="s">
        <v>39</v>
      </c>
      <c r="B21" s="7">
        <v>3.4815173864685425E-2</v>
      </c>
      <c r="C21" s="7">
        <v>2.3966599168556851E-2</v>
      </c>
      <c r="D21" s="7">
        <v>2.9073350848540794E-2</v>
      </c>
    </row>
    <row r="22" spans="1:4" x14ac:dyDescent="0.2">
      <c r="A22" s="2" t="s">
        <v>64</v>
      </c>
      <c r="B22" s="7">
        <v>6.0338256264619457E-6</v>
      </c>
      <c r="C22" s="7">
        <v>2.1610724328656166E-2</v>
      </c>
      <c r="D22" s="7">
        <v>1.144074415962508E-2</v>
      </c>
    </row>
    <row r="23" spans="1:4" x14ac:dyDescent="0.2">
      <c r="A23" s="2" t="s">
        <v>116</v>
      </c>
      <c r="B23" s="7">
        <v>2.1902787024056864E-2</v>
      </c>
      <c r="C23" s="7">
        <v>1.934786808531952E-2</v>
      </c>
      <c r="D23" s="7">
        <v>2.0550545575043197E-2</v>
      </c>
    </row>
    <row r="24" spans="1:4" x14ac:dyDescent="0.2">
      <c r="A24" s="2" t="s">
        <v>78</v>
      </c>
      <c r="B24" s="7">
        <v>2.3696844510324881E-2</v>
      </c>
      <c r="C24" s="7">
        <v>7.4271771718053478E-3</v>
      </c>
      <c r="D24" s="7">
        <v>1.5085800847357334E-2</v>
      </c>
    </row>
    <row r="25" spans="1:4" x14ac:dyDescent="0.2">
      <c r="A25" s="2" t="s">
        <v>176</v>
      </c>
      <c r="B25" s="7">
        <v>1</v>
      </c>
      <c r="C25" s="7">
        <v>1</v>
      </c>
      <c r="D25" s="7">
        <v>1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746960-919C-C14D-A347-82B1B1CADEBC}">
  <dimension ref="A3:J174"/>
  <sheetViews>
    <sheetView zoomScale="150" zoomScaleNormal="150" workbookViewId="0">
      <selection activeCell="D10" sqref="A3:J174"/>
    </sheetView>
  </sheetViews>
  <sheetFormatPr baseColWidth="10" defaultRowHeight="16" x14ac:dyDescent="0.2"/>
  <cols>
    <col min="1" max="1" width="57.1640625" bestFit="1" customWidth="1"/>
    <col min="2" max="2" width="17" bestFit="1" customWidth="1"/>
    <col min="3" max="3" width="10.5" bestFit="1" customWidth="1"/>
    <col min="4" max="4" width="17" bestFit="1" customWidth="1"/>
    <col min="5" max="5" width="10.5" bestFit="1" customWidth="1"/>
    <col min="6" max="6" width="21.33203125" bestFit="1" customWidth="1"/>
    <col min="7" max="7" width="10.5" bestFit="1" customWidth="1"/>
    <col min="8" max="8" width="21.6640625" bestFit="1" customWidth="1"/>
    <col min="9" max="9" width="21.83203125" bestFit="1" customWidth="1"/>
    <col min="10" max="10" width="26" bestFit="1" customWidth="1"/>
  </cols>
  <sheetData>
    <row r="3" spans="1:10" x14ac:dyDescent="0.2">
      <c r="B3" s="1" t="s">
        <v>178</v>
      </c>
    </row>
    <row r="4" spans="1:10" x14ac:dyDescent="0.2">
      <c r="B4" t="s">
        <v>179</v>
      </c>
      <c r="D4" t="s">
        <v>184</v>
      </c>
      <c r="F4" t="s">
        <v>186</v>
      </c>
      <c r="H4" t="s">
        <v>182</v>
      </c>
      <c r="I4" t="s">
        <v>183</v>
      </c>
      <c r="J4" t="s">
        <v>185</v>
      </c>
    </row>
    <row r="5" spans="1:10" x14ac:dyDescent="0.2">
      <c r="A5" s="1" t="s">
        <v>175</v>
      </c>
      <c r="B5" t="s">
        <v>7</v>
      </c>
      <c r="C5" t="s">
        <v>9</v>
      </c>
      <c r="D5" t="s">
        <v>7</v>
      </c>
      <c r="E5" t="s">
        <v>9</v>
      </c>
      <c r="F5" t="s">
        <v>7</v>
      </c>
      <c r="G5" t="s">
        <v>9</v>
      </c>
    </row>
    <row r="6" spans="1:10" x14ac:dyDescent="0.2">
      <c r="A6" s="2" t="s">
        <v>157</v>
      </c>
      <c r="B6" s="6"/>
      <c r="C6" s="6">
        <v>802</v>
      </c>
      <c r="D6" s="6"/>
      <c r="E6" s="6">
        <v>526</v>
      </c>
      <c r="F6" s="6"/>
      <c r="G6" s="6">
        <v>114</v>
      </c>
      <c r="H6" s="6">
        <v>802</v>
      </c>
      <c r="I6" s="6">
        <v>526</v>
      </c>
      <c r="J6" s="6">
        <v>114</v>
      </c>
    </row>
    <row r="7" spans="1:10" x14ac:dyDescent="0.2">
      <c r="A7" s="2" t="s">
        <v>124</v>
      </c>
      <c r="B7" s="6"/>
      <c r="C7" s="6">
        <v>1606</v>
      </c>
      <c r="D7" s="6"/>
      <c r="E7" s="6">
        <v>1211</v>
      </c>
      <c r="F7" s="6"/>
      <c r="G7" s="6">
        <v>426</v>
      </c>
      <c r="H7" s="6">
        <v>1606</v>
      </c>
      <c r="I7" s="6">
        <v>1211</v>
      </c>
      <c r="J7" s="6">
        <v>426</v>
      </c>
    </row>
    <row r="8" spans="1:10" x14ac:dyDescent="0.2">
      <c r="A8" s="2" t="s">
        <v>50</v>
      </c>
      <c r="B8" s="6"/>
      <c r="C8" s="6">
        <v>684</v>
      </c>
      <c r="D8" s="6"/>
      <c r="E8" s="6">
        <v>578</v>
      </c>
      <c r="F8" s="6"/>
      <c r="G8" s="6">
        <v>513</v>
      </c>
      <c r="H8" s="6">
        <v>684</v>
      </c>
      <c r="I8" s="6">
        <v>578</v>
      </c>
      <c r="J8" s="6">
        <v>513</v>
      </c>
    </row>
    <row r="9" spans="1:10" x14ac:dyDescent="0.2">
      <c r="A9" s="2" t="s">
        <v>82</v>
      </c>
      <c r="B9" s="6">
        <v>105455</v>
      </c>
      <c r="C9" s="6">
        <v>52053</v>
      </c>
      <c r="D9" s="6">
        <v>105455</v>
      </c>
      <c r="E9" s="6">
        <v>52053</v>
      </c>
      <c r="F9" s="6">
        <v>63409</v>
      </c>
      <c r="G9" s="6">
        <v>32033</v>
      </c>
      <c r="H9" s="6">
        <v>157508</v>
      </c>
      <c r="I9" s="6">
        <v>157508</v>
      </c>
      <c r="J9" s="6">
        <v>95442</v>
      </c>
    </row>
    <row r="10" spans="1:10" x14ac:dyDescent="0.2">
      <c r="A10" s="2" t="s">
        <v>71</v>
      </c>
      <c r="B10" s="6">
        <v>972</v>
      </c>
      <c r="C10" s="6">
        <v>1314</v>
      </c>
      <c r="D10" s="6">
        <v>972</v>
      </c>
      <c r="E10" s="6">
        <v>1314</v>
      </c>
      <c r="F10" s="6">
        <v>575</v>
      </c>
      <c r="G10" s="6">
        <v>828</v>
      </c>
      <c r="H10" s="6">
        <v>2286</v>
      </c>
      <c r="I10" s="6">
        <v>2286</v>
      </c>
      <c r="J10" s="6">
        <v>1403</v>
      </c>
    </row>
    <row r="11" spans="1:10" x14ac:dyDescent="0.2">
      <c r="A11" s="2" t="s">
        <v>151</v>
      </c>
      <c r="B11" s="6"/>
      <c r="C11" s="6">
        <v>60</v>
      </c>
      <c r="D11" s="6"/>
      <c r="E11" s="6">
        <v>60</v>
      </c>
      <c r="F11" s="6"/>
      <c r="G11" s="6">
        <v>25</v>
      </c>
      <c r="H11" s="6">
        <v>60</v>
      </c>
      <c r="I11" s="6">
        <v>60</v>
      </c>
      <c r="J11" s="6">
        <v>25</v>
      </c>
    </row>
    <row r="12" spans="1:10" x14ac:dyDescent="0.2">
      <c r="A12" s="2" t="s">
        <v>132</v>
      </c>
      <c r="B12" s="6">
        <v>6</v>
      </c>
      <c r="C12" s="6">
        <v>10299</v>
      </c>
      <c r="D12" s="6">
        <v>6</v>
      </c>
      <c r="E12" s="6">
        <v>7368</v>
      </c>
      <c r="F12" s="6">
        <v>3</v>
      </c>
      <c r="G12" s="6">
        <v>4160</v>
      </c>
      <c r="H12" s="6">
        <v>10305</v>
      </c>
      <c r="I12" s="6">
        <v>7374</v>
      </c>
      <c r="J12" s="6">
        <v>4163</v>
      </c>
    </row>
    <row r="13" spans="1:10" x14ac:dyDescent="0.2">
      <c r="A13" s="2" t="s">
        <v>34</v>
      </c>
      <c r="B13" s="6">
        <v>31959</v>
      </c>
      <c r="C13" s="6">
        <v>22516</v>
      </c>
      <c r="D13" s="6">
        <v>22387</v>
      </c>
      <c r="E13" s="6">
        <v>14962</v>
      </c>
      <c r="F13" s="6">
        <v>11861</v>
      </c>
      <c r="G13" s="6">
        <v>7992</v>
      </c>
      <c r="H13" s="6">
        <v>54475</v>
      </c>
      <c r="I13" s="6">
        <v>37349</v>
      </c>
      <c r="J13" s="6">
        <v>19853</v>
      </c>
    </row>
    <row r="14" spans="1:10" x14ac:dyDescent="0.2">
      <c r="A14" s="2" t="s">
        <v>40</v>
      </c>
      <c r="B14" s="6">
        <v>3126</v>
      </c>
      <c r="C14" s="6">
        <v>2314</v>
      </c>
      <c r="D14" s="6">
        <v>2050</v>
      </c>
      <c r="E14" s="6">
        <v>1632</v>
      </c>
      <c r="F14" s="6">
        <v>360</v>
      </c>
      <c r="G14" s="6">
        <v>283</v>
      </c>
      <c r="H14" s="6">
        <v>5440</v>
      </c>
      <c r="I14" s="6">
        <v>3682</v>
      </c>
      <c r="J14" s="6">
        <v>643</v>
      </c>
    </row>
    <row r="15" spans="1:10" x14ac:dyDescent="0.2">
      <c r="A15" s="2" t="s">
        <v>94</v>
      </c>
      <c r="B15" s="6"/>
      <c r="C15" s="6">
        <v>1406</v>
      </c>
      <c r="D15" s="6"/>
      <c r="E15" s="6">
        <v>1406</v>
      </c>
      <c r="F15" s="6"/>
      <c r="G15" s="6">
        <v>954</v>
      </c>
      <c r="H15" s="6">
        <v>1406</v>
      </c>
      <c r="I15" s="6">
        <v>1406</v>
      </c>
      <c r="J15" s="6">
        <v>954</v>
      </c>
    </row>
    <row r="16" spans="1:10" x14ac:dyDescent="0.2">
      <c r="A16" s="2" t="s">
        <v>45</v>
      </c>
      <c r="B16" s="6">
        <v>29117</v>
      </c>
      <c r="C16" s="6">
        <v>29142</v>
      </c>
      <c r="D16" s="6">
        <v>62</v>
      </c>
      <c r="E16" s="6">
        <v>68</v>
      </c>
      <c r="F16" s="6">
        <v>22</v>
      </c>
      <c r="G16" s="6">
        <v>28</v>
      </c>
      <c r="H16" s="6">
        <v>58259</v>
      </c>
      <c r="I16" s="6">
        <v>130</v>
      </c>
      <c r="J16" s="6">
        <v>50</v>
      </c>
    </row>
    <row r="17" spans="1:10" x14ac:dyDescent="0.2">
      <c r="A17" s="2" t="s">
        <v>69</v>
      </c>
      <c r="B17" s="6">
        <v>9844</v>
      </c>
      <c r="C17" s="6">
        <v>9780</v>
      </c>
      <c r="D17" s="6">
        <v>36</v>
      </c>
      <c r="E17" s="6">
        <v>39</v>
      </c>
      <c r="F17" s="6">
        <v>18</v>
      </c>
      <c r="G17" s="6">
        <v>24</v>
      </c>
      <c r="H17" s="6">
        <v>19624</v>
      </c>
      <c r="I17" s="6">
        <v>75</v>
      </c>
      <c r="J17" s="6">
        <v>42</v>
      </c>
    </row>
    <row r="18" spans="1:10" x14ac:dyDescent="0.2">
      <c r="A18" s="2" t="s">
        <v>123</v>
      </c>
      <c r="B18" s="6">
        <v>16212</v>
      </c>
      <c r="C18" s="6">
        <v>16237</v>
      </c>
      <c r="D18" s="6">
        <v>38</v>
      </c>
      <c r="E18" s="6">
        <v>63</v>
      </c>
      <c r="F18" s="6">
        <v>23</v>
      </c>
      <c r="G18" s="6">
        <v>36</v>
      </c>
      <c r="H18" s="6">
        <v>32449</v>
      </c>
      <c r="I18" s="6">
        <v>101</v>
      </c>
      <c r="J18" s="6">
        <v>59</v>
      </c>
    </row>
    <row r="19" spans="1:10" x14ac:dyDescent="0.2">
      <c r="A19" s="2" t="s">
        <v>101</v>
      </c>
      <c r="B19" s="6">
        <v>25595</v>
      </c>
      <c r="C19" s="6">
        <v>25708</v>
      </c>
      <c r="D19" s="6">
        <v>58</v>
      </c>
      <c r="E19" s="6">
        <v>59</v>
      </c>
      <c r="F19" s="6">
        <v>36</v>
      </c>
      <c r="G19" s="6">
        <v>33</v>
      </c>
      <c r="H19" s="6">
        <v>51303</v>
      </c>
      <c r="I19" s="6">
        <v>117</v>
      </c>
      <c r="J19" s="6">
        <v>69</v>
      </c>
    </row>
    <row r="20" spans="1:10" x14ac:dyDescent="0.2">
      <c r="A20" s="2" t="s">
        <v>129</v>
      </c>
      <c r="B20" s="6">
        <v>3113</v>
      </c>
      <c r="C20" s="6">
        <v>3192</v>
      </c>
      <c r="D20" s="6">
        <v>10</v>
      </c>
      <c r="E20" s="6">
        <v>10</v>
      </c>
      <c r="F20" s="6">
        <v>5</v>
      </c>
      <c r="G20" s="6">
        <v>3</v>
      </c>
      <c r="H20" s="6">
        <v>6305</v>
      </c>
      <c r="I20" s="6">
        <v>20</v>
      </c>
      <c r="J20" s="6">
        <v>8</v>
      </c>
    </row>
    <row r="21" spans="1:10" x14ac:dyDescent="0.2">
      <c r="A21" s="2" t="s">
        <v>31</v>
      </c>
      <c r="B21" s="6">
        <v>327</v>
      </c>
      <c r="C21" s="6">
        <v>2482</v>
      </c>
      <c r="D21" s="6">
        <v>265</v>
      </c>
      <c r="E21" s="6">
        <v>1859</v>
      </c>
      <c r="F21" s="6">
        <v>71</v>
      </c>
      <c r="G21" s="6">
        <v>414</v>
      </c>
      <c r="H21" s="6">
        <v>2809</v>
      </c>
      <c r="I21" s="6">
        <v>2124</v>
      </c>
      <c r="J21" s="6">
        <v>485</v>
      </c>
    </row>
    <row r="22" spans="1:10" x14ac:dyDescent="0.2">
      <c r="A22" s="2" t="s">
        <v>155</v>
      </c>
      <c r="B22" s="6">
        <v>6</v>
      </c>
      <c r="C22" s="6">
        <v>1786</v>
      </c>
      <c r="D22" s="6">
        <v>6</v>
      </c>
      <c r="E22" s="6">
        <v>1786</v>
      </c>
      <c r="F22" s="6">
        <v>5</v>
      </c>
      <c r="G22" s="6">
        <v>1122</v>
      </c>
      <c r="H22" s="6">
        <v>1792</v>
      </c>
      <c r="I22" s="6">
        <v>1792</v>
      </c>
      <c r="J22" s="6">
        <v>1127</v>
      </c>
    </row>
    <row r="23" spans="1:10" x14ac:dyDescent="0.2">
      <c r="A23" s="2" t="s">
        <v>133</v>
      </c>
      <c r="B23" s="6"/>
      <c r="C23" s="6">
        <v>37</v>
      </c>
      <c r="D23" s="6"/>
      <c r="E23" s="6">
        <v>13</v>
      </c>
      <c r="F23" s="6"/>
      <c r="G23" s="6">
        <v>1</v>
      </c>
      <c r="H23" s="6">
        <v>37</v>
      </c>
      <c r="I23" s="6">
        <v>13</v>
      </c>
      <c r="J23" s="6">
        <v>1</v>
      </c>
    </row>
    <row r="24" spans="1:10" x14ac:dyDescent="0.2">
      <c r="A24" s="2" t="s">
        <v>152</v>
      </c>
      <c r="B24" s="6">
        <v>1</v>
      </c>
      <c r="C24" s="6">
        <v>3483</v>
      </c>
      <c r="D24" s="6">
        <v>0</v>
      </c>
      <c r="E24" s="6">
        <v>2713</v>
      </c>
      <c r="F24" s="6">
        <v>0</v>
      </c>
      <c r="G24" s="6">
        <v>1035</v>
      </c>
      <c r="H24" s="6">
        <v>3484</v>
      </c>
      <c r="I24" s="6">
        <v>2713</v>
      </c>
      <c r="J24" s="6">
        <v>1035</v>
      </c>
    </row>
    <row r="25" spans="1:10" x14ac:dyDescent="0.2">
      <c r="A25" s="2" t="s">
        <v>147</v>
      </c>
      <c r="B25" s="6">
        <v>6</v>
      </c>
      <c r="C25" s="6">
        <v>1136</v>
      </c>
      <c r="D25" s="6">
        <v>6</v>
      </c>
      <c r="E25" s="6">
        <v>972</v>
      </c>
      <c r="F25" s="6">
        <v>1</v>
      </c>
      <c r="G25" s="6">
        <v>581</v>
      </c>
      <c r="H25" s="6">
        <v>1142</v>
      </c>
      <c r="I25" s="6">
        <v>978</v>
      </c>
      <c r="J25" s="6">
        <v>582</v>
      </c>
    </row>
    <row r="26" spans="1:10" x14ac:dyDescent="0.2">
      <c r="A26" s="2" t="s">
        <v>11</v>
      </c>
      <c r="B26" s="6">
        <v>252052</v>
      </c>
      <c r="C26" s="6">
        <v>250430</v>
      </c>
      <c r="D26" s="6">
        <v>38</v>
      </c>
      <c r="E26" s="6">
        <v>29</v>
      </c>
      <c r="F26" s="6">
        <v>9</v>
      </c>
      <c r="G26" s="6">
        <v>7</v>
      </c>
      <c r="H26" s="6">
        <v>502482</v>
      </c>
      <c r="I26" s="6">
        <v>67</v>
      </c>
      <c r="J26" s="6">
        <v>16</v>
      </c>
    </row>
    <row r="27" spans="1:10" x14ac:dyDescent="0.2">
      <c r="A27" s="2" t="s">
        <v>16</v>
      </c>
      <c r="B27" s="6">
        <v>24318</v>
      </c>
      <c r="C27" s="6">
        <v>16460</v>
      </c>
      <c r="D27" s="6">
        <v>24318</v>
      </c>
      <c r="E27" s="6">
        <v>16460</v>
      </c>
      <c r="F27" s="6">
        <v>16652</v>
      </c>
      <c r="G27" s="6">
        <v>11649</v>
      </c>
      <c r="H27" s="6">
        <v>40778</v>
      </c>
      <c r="I27" s="6">
        <v>40778</v>
      </c>
      <c r="J27" s="6">
        <v>28301</v>
      </c>
    </row>
    <row r="28" spans="1:10" x14ac:dyDescent="0.2">
      <c r="A28" s="2" t="s">
        <v>18</v>
      </c>
      <c r="B28" s="6">
        <v>164</v>
      </c>
      <c r="C28" s="6">
        <v>160</v>
      </c>
      <c r="D28" s="6">
        <v>79</v>
      </c>
      <c r="E28" s="6">
        <v>76</v>
      </c>
      <c r="F28" s="6">
        <v>54</v>
      </c>
      <c r="G28" s="6">
        <v>57</v>
      </c>
      <c r="H28" s="6">
        <v>324</v>
      </c>
      <c r="I28" s="6">
        <v>155</v>
      </c>
      <c r="J28" s="6">
        <v>111</v>
      </c>
    </row>
    <row r="29" spans="1:10" x14ac:dyDescent="0.2">
      <c r="A29" s="2" t="s">
        <v>120</v>
      </c>
      <c r="B29" s="6"/>
      <c r="C29" s="6">
        <v>39</v>
      </c>
      <c r="D29" s="6"/>
      <c r="E29" s="6">
        <v>37</v>
      </c>
      <c r="F29" s="6"/>
      <c r="G29" s="6">
        <v>2</v>
      </c>
      <c r="H29" s="6">
        <v>39</v>
      </c>
      <c r="I29" s="6">
        <v>37</v>
      </c>
      <c r="J29" s="6">
        <v>2</v>
      </c>
    </row>
    <row r="30" spans="1:10" x14ac:dyDescent="0.2">
      <c r="A30" s="2" t="s">
        <v>6</v>
      </c>
      <c r="B30" s="6">
        <v>63769</v>
      </c>
      <c r="C30" s="6">
        <v>192216</v>
      </c>
      <c r="D30" s="6">
        <v>15218</v>
      </c>
      <c r="E30" s="6">
        <v>91092</v>
      </c>
      <c r="F30" s="6">
        <v>10612</v>
      </c>
      <c r="G30" s="6">
        <v>64937</v>
      </c>
      <c r="H30" s="6">
        <v>255985</v>
      </c>
      <c r="I30" s="6">
        <v>106310</v>
      </c>
      <c r="J30" s="6">
        <v>75549</v>
      </c>
    </row>
    <row r="31" spans="1:10" x14ac:dyDescent="0.2">
      <c r="A31" s="2" t="s">
        <v>41</v>
      </c>
      <c r="B31" s="6">
        <v>26697</v>
      </c>
      <c r="C31" s="6">
        <v>30207</v>
      </c>
      <c r="D31" s="6">
        <v>14307</v>
      </c>
      <c r="E31" s="6">
        <v>17912</v>
      </c>
      <c r="F31" s="6">
        <v>6640</v>
      </c>
      <c r="G31" s="6">
        <v>9282</v>
      </c>
      <c r="H31" s="6">
        <v>56904</v>
      </c>
      <c r="I31" s="6">
        <v>32219</v>
      </c>
      <c r="J31" s="6">
        <v>15922</v>
      </c>
    </row>
    <row r="32" spans="1:10" x14ac:dyDescent="0.2">
      <c r="A32" s="2" t="s">
        <v>119</v>
      </c>
      <c r="B32" s="6">
        <v>2727</v>
      </c>
      <c r="C32" s="6">
        <v>6557</v>
      </c>
      <c r="D32" s="6">
        <v>2727</v>
      </c>
      <c r="E32" s="6">
        <v>6557</v>
      </c>
      <c r="F32" s="6">
        <v>1275</v>
      </c>
      <c r="G32" s="6">
        <v>2975</v>
      </c>
      <c r="H32" s="6">
        <v>9284</v>
      </c>
      <c r="I32" s="6">
        <v>9284</v>
      </c>
      <c r="J32" s="6">
        <v>4250</v>
      </c>
    </row>
    <row r="33" spans="1:10" x14ac:dyDescent="0.2">
      <c r="A33" s="2" t="s">
        <v>51</v>
      </c>
      <c r="B33" s="6">
        <v>836</v>
      </c>
      <c r="C33" s="6">
        <v>1320</v>
      </c>
      <c r="D33" s="6">
        <v>836</v>
      </c>
      <c r="E33" s="6">
        <v>1320</v>
      </c>
      <c r="F33" s="6">
        <v>428</v>
      </c>
      <c r="G33" s="6">
        <v>644</v>
      </c>
      <c r="H33" s="6">
        <v>2156</v>
      </c>
      <c r="I33" s="6">
        <v>2156</v>
      </c>
      <c r="J33" s="6">
        <v>1072</v>
      </c>
    </row>
    <row r="34" spans="1:10" x14ac:dyDescent="0.2">
      <c r="A34" s="2" t="s">
        <v>36</v>
      </c>
      <c r="B34" s="6">
        <v>1413</v>
      </c>
      <c r="C34" s="6">
        <v>4887</v>
      </c>
      <c r="D34" s="6">
        <v>949</v>
      </c>
      <c r="E34" s="6">
        <v>3441</v>
      </c>
      <c r="F34" s="6">
        <v>319</v>
      </c>
      <c r="G34" s="6">
        <v>1092</v>
      </c>
      <c r="H34" s="6">
        <v>6300</v>
      </c>
      <c r="I34" s="6">
        <v>4390</v>
      </c>
      <c r="J34" s="6">
        <v>1411</v>
      </c>
    </row>
    <row r="35" spans="1:10" x14ac:dyDescent="0.2">
      <c r="A35" s="2" t="s">
        <v>27</v>
      </c>
      <c r="B35" s="6">
        <v>1</v>
      </c>
      <c r="C35" s="6">
        <v>1414</v>
      </c>
      <c r="D35" s="6">
        <v>1</v>
      </c>
      <c r="E35" s="6">
        <v>1414</v>
      </c>
      <c r="F35" s="6">
        <v>0</v>
      </c>
      <c r="G35" s="6">
        <v>829</v>
      </c>
      <c r="H35" s="6">
        <v>1415</v>
      </c>
      <c r="I35" s="6">
        <v>1415</v>
      </c>
      <c r="J35" s="6">
        <v>829</v>
      </c>
    </row>
    <row r="36" spans="1:10" x14ac:dyDescent="0.2">
      <c r="A36" s="2" t="s">
        <v>19</v>
      </c>
      <c r="B36" s="6">
        <v>3622</v>
      </c>
      <c r="C36" s="6">
        <v>2007</v>
      </c>
      <c r="D36" s="6">
        <v>1609</v>
      </c>
      <c r="E36" s="6">
        <v>347</v>
      </c>
      <c r="F36" s="6">
        <v>903</v>
      </c>
      <c r="G36" s="6">
        <v>189</v>
      </c>
      <c r="H36" s="6">
        <v>5629</v>
      </c>
      <c r="I36" s="6">
        <v>1956</v>
      </c>
      <c r="J36" s="6">
        <v>1092</v>
      </c>
    </row>
    <row r="37" spans="1:10" x14ac:dyDescent="0.2">
      <c r="A37" s="2" t="s">
        <v>88</v>
      </c>
      <c r="B37" s="6">
        <v>321</v>
      </c>
      <c r="C37" s="6">
        <v>3697</v>
      </c>
      <c r="D37" s="6">
        <v>321</v>
      </c>
      <c r="E37" s="6">
        <v>3697</v>
      </c>
      <c r="F37" s="6">
        <v>187</v>
      </c>
      <c r="G37" s="6">
        <v>2495</v>
      </c>
      <c r="H37" s="6">
        <v>4018</v>
      </c>
      <c r="I37" s="6">
        <v>4018</v>
      </c>
      <c r="J37" s="6">
        <v>2682</v>
      </c>
    </row>
    <row r="38" spans="1:10" x14ac:dyDescent="0.2">
      <c r="A38" s="2" t="s">
        <v>142</v>
      </c>
      <c r="B38" s="6">
        <v>7737</v>
      </c>
      <c r="C38" s="6">
        <v>7165</v>
      </c>
      <c r="D38" s="6">
        <v>3540</v>
      </c>
      <c r="E38" s="6">
        <v>3423</v>
      </c>
      <c r="F38" s="6">
        <v>1546</v>
      </c>
      <c r="G38" s="6">
        <v>1568</v>
      </c>
      <c r="H38" s="6">
        <v>14902</v>
      </c>
      <c r="I38" s="6">
        <v>6963</v>
      </c>
      <c r="J38" s="6">
        <v>3114</v>
      </c>
    </row>
    <row r="39" spans="1:10" x14ac:dyDescent="0.2">
      <c r="A39" s="2" t="s">
        <v>35</v>
      </c>
      <c r="B39" s="6">
        <v>9</v>
      </c>
      <c r="C39" s="6">
        <v>2694</v>
      </c>
      <c r="D39" s="6">
        <v>9</v>
      </c>
      <c r="E39" s="6">
        <v>2694</v>
      </c>
      <c r="F39" s="6">
        <v>3</v>
      </c>
      <c r="G39" s="6">
        <v>1330</v>
      </c>
      <c r="H39" s="6">
        <v>2703</v>
      </c>
      <c r="I39" s="6">
        <v>2703</v>
      </c>
      <c r="J39" s="6">
        <v>1333</v>
      </c>
    </row>
    <row r="40" spans="1:10" x14ac:dyDescent="0.2">
      <c r="A40" s="2" t="s">
        <v>84</v>
      </c>
      <c r="B40" s="6"/>
      <c r="C40" s="6">
        <v>2783</v>
      </c>
      <c r="D40" s="6"/>
      <c r="E40" s="6">
        <v>2783</v>
      </c>
      <c r="F40" s="6"/>
      <c r="G40" s="6">
        <v>1858</v>
      </c>
      <c r="H40" s="6">
        <v>2783</v>
      </c>
      <c r="I40" s="6">
        <v>2783</v>
      </c>
      <c r="J40" s="6">
        <v>1858</v>
      </c>
    </row>
    <row r="41" spans="1:10" x14ac:dyDescent="0.2">
      <c r="A41" s="2" t="s">
        <v>130</v>
      </c>
      <c r="B41" s="6"/>
      <c r="C41" s="6">
        <v>1</v>
      </c>
      <c r="D41" s="6"/>
      <c r="E41" s="6">
        <v>1</v>
      </c>
      <c r="F41" s="6"/>
      <c r="G41" s="6">
        <v>0</v>
      </c>
      <c r="H41" s="6">
        <v>1</v>
      </c>
      <c r="I41" s="6">
        <v>1</v>
      </c>
      <c r="J41" s="6">
        <v>0</v>
      </c>
    </row>
    <row r="42" spans="1:10" x14ac:dyDescent="0.2">
      <c r="A42" s="2" t="s">
        <v>73</v>
      </c>
      <c r="B42" s="6">
        <v>16</v>
      </c>
      <c r="C42" s="6">
        <v>1793</v>
      </c>
      <c r="D42" s="6">
        <v>16</v>
      </c>
      <c r="E42" s="6">
        <v>1793</v>
      </c>
      <c r="F42" s="6">
        <v>5</v>
      </c>
      <c r="G42" s="6">
        <v>649</v>
      </c>
      <c r="H42" s="6">
        <v>1809</v>
      </c>
      <c r="I42" s="6">
        <v>1809</v>
      </c>
      <c r="J42" s="6">
        <v>654</v>
      </c>
    </row>
    <row r="43" spans="1:10" x14ac:dyDescent="0.2">
      <c r="A43" s="2" t="s">
        <v>164</v>
      </c>
      <c r="B43" s="6"/>
      <c r="C43" s="6">
        <v>582</v>
      </c>
      <c r="D43" s="6"/>
      <c r="E43" s="6">
        <v>382</v>
      </c>
      <c r="F43" s="6"/>
      <c r="G43" s="6">
        <v>174</v>
      </c>
      <c r="H43" s="6">
        <v>582</v>
      </c>
      <c r="I43" s="6">
        <v>382</v>
      </c>
      <c r="J43" s="6">
        <v>174</v>
      </c>
    </row>
    <row r="44" spans="1:10" x14ac:dyDescent="0.2">
      <c r="A44" s="2" t="s">
        <v>61</v>
      </c>
      <c r="B44" s="6"/>
      <c r="C44" s="6">
        <v>40</v>
      </c>
      <c r="D44" s="6"/>
      <c r="E44" s="6">
        <v>39</v>
      </c>
      <c r="F44" s="6"/>
      <c r="G44" s="6">
        <v>5</v>
      </c>
      <c r="H44" s="6">
        <v>40</v>
      </c>
      <c r="I44" s="6">
        <v>39</v>
      </c>
      <c r="J44" s="6">
        <v>5</v>
      </c>
    </row>
    <row r="45" spans="1:10" x14ac:dyDescent="0.2">
      <c r="A45" s="2" t="s">
        <v>20</v>
      </c>
      <c r="B45" s="6">
        <v>4688</v>
      </c>
      <c r="C45" s="6">
        <v>12002</v>
      </c>
      <c r="D45" s="6">
        <v>2538</v>
      </c>
      <c r="E45" s="6">
        <v>6748</v>
      </c>
      <c r="F45" s="6">
        <v>1378</v>
      </c>
      <c r="G45" s="6">
        <v>3713</v>
      </c>
      <c r="H45" s="6">
        <v>16690</v>
      </c>
      <c r="I45" s="6">
        <v>9286</v>
      </c>
      <c r="J45" s="6">
        <v>5091</v>
      </c>
    </row>
    <row r="46" spans="1:10" x14ac:dyDescent="0.2">
      <c r="A46" s="2" t="s">
        <v>21</v>
      </c>
      <c r="B46" s="6">
        <v>4192</v>
      </c>
      <c r="C46" s="6">
        <v>4687</v>
      </c>
      <c r="D46" s="6">
        <v>198</v>
      </c>
      <c r="E46" s="6">
        <v>400</v>
      </c>
      <c r="F46" s="6">
        <v>102</v>
      </c>
      <c r="G46" s="6">
        <v>209</v>
      </c>
      <c r="H46" s="6">
        <v>8879</v>
      </c>
      <c r="I46" s="6">
        <v>598</v>
      </c>
      <c r="J46" s="6">
        <v>311</v>
      </c>
    </row>
    <row r="47" spans="1:10" x14ac:dyDescent="0.2">
      <c r="A47" s="2" t="s">
        <v>49</v>
      </c>
      <c r="B47" s="6">
        <v>4737</v>
      </c>
      <c r="C47" s="6">
        <v>4857</v>
      </c>
      <c r="D47" s="6">
        <v>498</v>
      </c>
      <c r="E47" s="6">
        <v>742</v>
      </c>
      <c r="F47" s="6">
        <v>359</v>
      </c>
      <c r="G47" s="6">
        <v>599</v>
      </c>
      <c r="H47" s="6">
        <v>9594</v>
      </c>
      <c r="I47" s="6">
        <v>1240</v>
      </c>
      <c r="J47" s="6">
        <v>958</v>
      </c>
    </row>
    <row r="48" spans="1:10" x14ac:dyDescent="0.2">
      <c r="A48" s="2" t="s">
        <v>56</v>
      </c>
      <c r="B48" s="6"/>
      <c r="C48" s="6">
        <v>297</v>
      </c>
      <c r="D48" s="6"/>
      <c r="E48" s="6">
        <v>297</v>
      </c>
      <c r="F48" s="6"/>
      <c r="G48" s="6">
        <v>209</v>
      </c>
      <c r="H48" s="6">
        <v>297</v>
      </c>
      <c r="I48" s="6">
        <v>297</v>
      </c>
      <c r="J48" s="6">
        <v>209</v>
      </c>
    </row>
    <row r="49" spans="1:10" x14ac:dyDescent="0.2">
      <c r="A49" s="2" t="s">
        <v>149</v>
      </c>
      <c r="B49" s="6">
        <v>19</v>
      </c>
      <c r="C49" s="6">
        <v>1861</v>
      </c>
      <c r="D49" s="6">
        <v>16</v>
      </c>
      <c r="E49" s="6">
        <v>1457</v>
      </c>
      <c r="F49" s="6">
        <v>0</v>
      </c>
      <c r="G49" s="6">
        <v>551</v>
      </c>
      <c r="H49" s="6">
        <v>1880</v>
      </c>
      <c r="I49" s="6">
        <v>1473</v>
      </c>
      <c r="J49" s="6">
        <v>551</v>
      </c>
    </row>
    <row r="50" spans="1:10" x14ac:dyDescent="0.2">
      <c r="A50" s="2" t="s">
        <v>154</v>
      </c>
      <c r="B50" s="6">
        <v>4975</v>
      </c>
      <c r="C50" s="6">
        <v>4851</v>
      </c>
      <c r="D50" s="6">
        <v>0</v>
      </c>
      <c r="E50" s="6">
        <v>0</v>
      </c>
      <c r="F50" s="6">
        <v>0</v>
      </c>
      <c r="G50" s="6">
        <v>0</v>
      </c>
      <c r="H50" s="6">
        <v>9826</v>
      </c>
      <c r="I50" s="6">
        <v>0</v>
      </c>
      <c r="J50" s="6">
        <v>0</v>
      </c>
    </row>
    <row r="51" spans="1:10" x14ac:dyDescent="0.2">
      <c r="A51" s="2" t="s">
        <v>52</v>
      </c>
      <c r="B51" s="6">
        <v>623</v>
      </c>
      <c r="C51" s="6">
        <v>562</v>
      </c>
      <c r="D51" s="6">
        <v>0</v>
      </c>
      <c r="E51" s="6">
        <v>0</v>
      </c>
      <c r="F51" s="6">
        <v>0</v>
      </c>
      <c r="G51" s="6">
        <v>0</v>
      </c>
      <c r="H51" s="6">
        <v>1185</v>
      </c>
      <c r="I51" s="6">
        <v>0</v>
      </c>
      <c r="J51" s="6">
        <v>0</v>
      </c>
    </row>
    <row r="52" spans="1:10" x14ac:dyDescent="0.2">
      <c r="A52" s="2" t="s">
        <v>160</v>
      </c>
      <c r="B52" s="6"/>
      <c r="C52" s="6">
        <v>768</v>
      </c>
      <c r="D52" s="6"/>
      <c r="E52" s="6">
        <v>611</v>
      </c>
      <c r="F52" s="6"/>
      <c r="G52" s="6">
        <v>199</v>
      </c>
      <c r="H52" s="6">
        <v>768</v>
      </c>
      <c r="I52" s="6">
        <v>611</v>
      </c>
      <c r="J52" s="6">
        <v>199</v>
      </c>
    </row>
    <row r="53" spans="1:10" x14ac:dyDescent="0.2">
      <c r="A53" s="2" t="s">
        <v>38</v>
      </c>
      <c r="B53" s="6">
        <v>19631</v>
      </c>
      <c r="C53" s="6">
        <v>13489</v>
      </c>
      <c r="D53" s="6">
        <v>19631</v>
      </c>
      <c r="E53" s="6">
        <v>13489</v>
      </c>
      <c r="F53" s="6">
        <v>10728</v>
      </c>
      <c r="G53" s="6">
        <v>7440</v>
      </c>
      <c r="H53" s="6">
        <v>33120</v>
      </c>
      <c r="I53" s="6">
        <v>33120</v>
      </c>
      <c r="J53" s="6">
        <v>18168</v>
      </c>
    </row>
    <row r="54" spans="1:10" x14ac:dyDescent="0.2">
      <c r="A54" s="2" t="s">
        <v>57</v>
      </c>
      <c r="B54" s="6">
        <v>6791</v>
      </c>
      <c r="C54" s="6">
        <v>3470</v>
      </c>
      <c r="D54" s="6">
        <v>5363</v>
      </c>
      <c r="E54" s="6">
        <v>2471</v>
      </c>
      <c r="F54" s="6">
        <v>3073</v>
      </c>
      <c r="G54" s="6">
        <v>1466</v>
      </c>
      <c r="H54" s="6">
        <v>10261</v>
      </c>
      <c r="I54" s="6">
        <v>7834</v>
      </c>
      <c r="J54" s="6">
        <v>4539</v>
      </c>
    </row>
    <row r="55" spans="1:10" x14ac:dyDescent="0.2">
      <c r="A55" s="2" t="s">
        <v>17</v>
      </c>
      <c r="B55" s="6">
        <v>930</v>
      </c>
      <c r="C55" s="6">
        <v>2884</v>
      </c>
      <c r="D55" s="6">
        <v>14</v>
      </c>
      <c r="E55" s="6">
        <v>1373</v>
      </c>
      <c r="F55" s="6">
        <v>11</v>
      </c>
      <c r="G55" s="6">
        <v>563</v>
      </c>
      <c r="H55" s="6">
        <v>3814</v>
      </c>
      <c r="I55" s="6">
        <v>1387</v>
      </c>
      <c r="J55" s="6">
        <v>574</v>
      </c>
    </row>
    <row r="56" spans="1:10" x14ac:dyDescent="0.2">
      <c r="A56" s="2" t="s">
        <v>25</v>
      </c>
      <c r="B56" s="6"/>
      <c r="C56" s="6">
        <v>4923</v>
      </c>
      <c r="D56" s="6"/>
      <c r="E56" s="6">
        <v>4923</v>
      </c>
      <c r="F56" s="6"/>
      <c r="G56" s="6">
        <v>3725</v>
      </c>
      <c r="H56" s="6">
        <v>4923</v>
      </c>
      <c r="I56" s="6">
        <v>4923</v>
      </c>
      <c r="J56" s="6">
        <v>3725</v>
      </c>
    </row>
    <row r="57" spans="1:10" x14ac:dyDescent="0.2">
      <c r="A57" s="2" t="s">
        <v>72</v>
      </c>
      <c r="B57" s="6">
        <v>1919</v>
      </c>
      <c r="C57" s="6">
        <v>6974</v>
      </c>
      <c r="D57" s="6">
        <v>1919</v>
      </c>
      <c r="E57" s="6">
        <v>6974</v>
      </c>
      <c r="F57" s="6">
        <v>1280</v>
      </c>
      <c r="G57" s="6">
        <v>5372</v>
      </c>
      <c r="H57" s="6">
        <v>8893</v>
      </c>
      <c r="I57" s="6">
        <v>8893</v>
      </c>
      <c r="J57" s="6">
        <v>6652</v>
      </c>
    </row>
    <row r="58" spans="1:10" x14ac:dyDescent="0.2">
      <c r="A58" s="2" t="s">
        <v>28</v>
      </c>
      <c r="B58" s="6"/>
      <c r="C58" s="6">
        <v>1837</v>
      </c>
      <c r="D58" s="6"/>
      <c r="E58" s="6">
        <v>1837</v>
      </c>
      <c r="F58" s="6"/>
      <c r="G58" s="6">
        <v>1306</v>
      </c>
      <c r="H58" s="6">
        <v>1837</v>
      </c>
      <c r="I58" s="6">
        <v>1837</v>
      </c>
      <c r="J58" s="6">
        <v>1306</v>
      </c>
    </row>
    <row r="59" spans="1:10" x14ac:dyDescent="0.2">
      <c r="A59" s="2" t="s">
        <v>174</v>
      </c>
      <c r="B59" s="6"/>
      <c r="C59" s="6">
        <v>49</v>
      </c>
      <c r="D59" s="6"/>
      <c r="E59" s="6">
        <v>37</v>
      </c>
      <c r="F59" s="6"/>
      <c r="G59" s="6">
        <v>15</v>
      </c>
      <c r="H59" s="6">
        <v>49</v>
      </c>
      <c r="I59" s="6">
        <v>37</v>
      </c>
      <c r="J59" s="6">
        <v>15</v>
      </c>
    </row>
    <row r="60" spans="1:10" x14ac:dyDescent="0.2">
      <c r="A60" s="2" t="s">
        <v>39</v>
      </c>
      <c r="B60" s="6">
        <v>17310</v>
      </c>
      <c r="C60" s="6">
        <v>13398</v>
      </c>
      <c r="D60" s="6">
        <v>17310</v>
      </c>
      <c r="E60" s="6">
        <v>13398</v>
      </c>
      <c r="F60" s="6">
        <v>11581</v>
      </c>
      <c r="G60" s="6">
        <v>9134</v>
      </c>
      <c r="H60" s="6">
        <v>30708</v>
      </c>
      <c r="I60" s="6">
        <v>30708</v>
      </c>
      <c r="J60" s="6">
        <v>20715</v>
      </c>
    </row>
    <row r="61" spans="1:10" x14ac:dyDescent="0.2">
      <c r="A61" s="2" t="s">
        <v>66</v>
      </c>
      <c r="B61" s="6">
        <v>287</v>
      </c>
      <c r="C61" s="6">
        <v>378</v>
      </c>
      <c r="D61" s="6">
        <v>181</v>
      </c>
      <c r="E61" s="6">
        <v>208</v>
      </c>
      <c r="F61" s="6">
        <v>88</v>
      </c>
      <c r="G61" s="6">
        <v>87</v>
      </c>
      <c r="H61" s="6">
        <v>665</v>
      </c>
      <c r="I61" s="6">
        <v>389</v>
      </c>
      <c r="J61" s="6">
        <v>175</v>
      </c>
    </row>
    <row r="62" spans="1:10" x14ac:dyDescent="0.2">
      <c r="A62" s="2" t="s">
        <v>99</v>
      </c>
      <c r="B62" s="6"/>
      <c r="C62" s="6">
        <v>880</v>
      </c>
      <c r="D62" s="6"/>
      <c r="E62" s="6">
        <v>880</v>
      </c>
      <c r="F62" s="6"/>
      <c r="G62" s="6">
        <v>472</v>
      </c>
      <c r="H62" s="6">
        <v>880</v>
      </c>
      <c r="I62" s="6">
        <v>880</v>
      </c>
      <c r="J62" s="6">
        <v>472</v>
      </c>
    </row>
    <row r="63" spans="1:10" x14ac:dyDescent="0.2">
      <c r="A63" s="2" t="s">
        <v>108</v>
      </c>
      <c r="B63" s="6">
        <v>16661</v>
      </c>
      <c r="C63" s="6">
        <v>13994</v>
      </c>
      <c r="D63" s="6">
        <v>16661</v>
      </c>
      <c r="E63" s="6">
        <v>13994</v>
      </c>
      <c r="F63" s="6">
        <v>11064</v>
      </c>
      <c r="G63" s="6">
        <v>9555</v>
      </c>
      <c r="H63" s="6">
        <v>30655</v>
      </c>
      <c r="I63" s="6">
        <v>30655</v>
      </c>
      <c r="J63" s="6">
        <v>20619</v>
      </c>
    </row>
    <row r="64" spans="1:10" x14ac:dyDescent="0.2">
      <c r="A64" s="2" t="s">
        <v>44</v>
      </c>
      <c r="B64" s="6"/>
      <c r="C64" s="6">
        <v>40</v>
      </c>
      <c r="D64" s="6"/>
      <c r="E64" s="6">
        <v>40</v>
      </c>
      <c r="F64" s="6"/>
      <c r="G64" s="6">
        <v>3</v>
      </c>
      <c r="H64" s="6">
        <v>40</v>
      </c>
      <c r="I64" s="6">
        <v>40</v>
      </c>
      <c r="J64" s="6">
        <v>3</v>
      </c>
    </row>
    <row r="65" spans="1:10" x14ac:dyDescent="0.2">
      <c r="A65" s="2" t="s">
        <v>97</v>
      </c>
      <c r="B65" s="6"/>
      <c r="C65" s="6">
        <v>47</v>
      </c>
      <c r="D65" s="6"/>
      <c r="E65" s="6">
        <v>40</v>
      </c>
      <c r="F65" s="6"/>
      <c r="G65" s="6">
        <v>5</v>
      </c>
      <c r="H65" s="6">
        <v>47</v>
      </c>
      <c r="I65" s="6">
        <v>40</v>
      </c>
      <c r="J65" s="6">
        <v>5</v>
      </c>
    </row>
    <row r="66" spans="1:10" x14ac:dyDescent="0.2">
      <c r="A66" s="2" t="s">
        <v>156</v>
      </c>
      <c r="B66" s="6"/>
      <c r="C66" s="6">
        <v>1136</v>
      </c>
      <c r="D66" s="6"/>
      <c r="E66" s="6">
        <v>714</v>
      </c>
      <c r="F66" s="6"/>
      <c r="G66" s="6">
        <v>531</v>
      </c>
      <c r="H66" s="6">
        <v>1136</v>
      </c>
      <c r="I66" s="6">
        <v>714</v>
      </c>
      <c r="J66" s="6">
        <v>531</v>
      </c>
    </row>
    <row r="67" spans="1:10" x14ac:dyDescent="0.2">
      <c r="A67" s="2" t="s">
        <v>153</v>
      </c>
      <c r="B67" s="6"/>
      <c r="C67" s="6">
        <v>168</v>
      </c>
      <c r="D67" s="6"/>
      <c r="E67" s="6">
        <v>78</v>
      </c>
      <c r="F67" s="6"/>
      <c r="G67" s="6">
        <v>38</v>
      </c>
      <c r="H67" s="6">
        <v>168</v>
      </c>
      <c r="I67" s="6">
        <v>78</v>
      </c>
      <c r="J67" s="6">
        <v>38</v>
      </c>
    </row>
    <row r="68" spans="1:10" x14ac:dyDescent="0.2">
      <c r="A68" s="2" t="s">
        <v>76</v>
      </c>
      <c r="B68" s="6">
        <v>15285</v>
      </c>
      <c r="C68" s="6">
        <v>14330</v>
      </c>
      <c r="D68" s="6">
        <v>15285</v>
      </c>
      <c r="E68" s="6">
        <v>14330</v>
      </c>
      <c r="F68" s="6">
        <v>11333</v>
      </c>
      <c r="G68" s="6">
        <v>10785</v>
      </c>
      <c r="H68" s="6">
        <v>29615</v>
      </c>
      <c r="I68" s="6">
        <v>29615</v>
      </c>
      <c r="J68" s="6">
        <v>22118</v>
      </c>
    </row>
    <row r="69" spans="1:10" x14ac:dyDescent="0.2">
      <c r="A69" s="2" t="s">
        <v>62</v>
      </c>
      <c r="B69" s="6">
        <v>69</v>
      </c>
      <c r="C69" s="6">
        <v>1395</v>
      </c>
      <c r="D69" s="6">
        <v>52</v>
      </c>
      <c r="E69" s="6">
        <v>987</v>
      </c>
      <c r="F69" s="6">
        <v>28</v>
      </c>
      <c r="G69" s="6">
        <v>513</v>
      </c>
      <c r="H69" s="6">
        <v>1464</v>
      </c>
      <c r="I69" s="6">
        <v>1039</v>
      </c>
      <c r="J69" s="6">
        <v>541</v>
      </c>
    </row>
    <row r="70" spans="1:10" x14ac:dyDescent="0.2">
      <c r="A70" s="2" t="s">
        <v>158</v>
      </c>
      <c r="B70" s="6">
        <v>43</v>
      </c>
      <c r="C70" s="6">
        <v>1152</v>
      </c>
      <c r="D70" s="6">
        <v>30</v>
      </c>
      <c r="E70" s="6">
        <v>840</v>
      </c>
      <c r="F70" s="6">
        <v>4</v>
      </c>
      <c r="G70" s="6">
        <v>143</v>
      </c>
      <c r="H70" s="6">
        <v>1195</v>
      </c>
      <c r="I70" s="6">
        <v>870</v>
      </c>
      <c r="J70" s="6">
        <v>147</v>
      </c>
    </row>
    <row r="71" spans="1:10" x14ac:dyDescent="0.2">
      <c r="A71" s="2" t="s">
        <v>77</v>
      </c>
      <c r="B71" s="6">
        <v>679</v>
      </c>
      <c r="C71" s="6">
        <v>1165</v>
      </c>
      <c r="D71" s="6">
        <v>506</v>
      </c>
      <c r="E71" s="6">
        <v>827</v>
      </c>
      <c r="F71" s="6">
        <v>302</v>
      </c>
      <c r="G71" s="6">
        <v>489</v>
      </c>
      <c r="H71" s="6">
        <v>1844</v>
      </c>
      <c r="I71" s="6">
        <v>1333</v>
      </c>
      <c r="J71" s="6">
        <v>791</v>
      </c>
    </row>
    <row r="72" spans="1:10" x14ac:dyDescent="0.2">
      <c r="A72" s="2" t="s">
        <v>79</v>
      </c>
      <c r="B72" s="6"/>
      <c r="C72" s="6">
        <v>253</v>
      </c>
      <c r="D72" s="6"/>
      <c r="E72" s="6">
        <v>253</v>
      </c>
      <c r="F72" s="6"/>
      <c r="G72" s="6">
        <v>117</v>
      </c>
      <c r="H72" s="6">
        <v>253</v>
      </c>
      <c r="I72" s="6">
        <v>253</v>
      </c>
      <c r="J72" s="6">
        <v>117</v>
      </c>
    </row>
    <row r="73" spans="1:10" x14ac:dyDescent="0.2">
      <c r="A73" s="2" t="s">
        <v>118</v>
      </c>
      <c r="B73" s="6">
        <v>2185</v>
      </c>
      <c r="C73" s="6">
        <v>4463</v>
      </c>
      <c r="D73" s="6">
        <v>1211</v>
      </c>
      <c r="E73" s="6">
        <v>3416</v>
      </c>
      <c r="F73" s="6">
        <v>514</v>
      </c>
      <c r="G73" s="6">
        <v>1749</v>
      </c>
      <c r="H73" s="6">
        <v>6648</v>
      </c>
      <c r="I73" s="6">
        <v>4627</v>
      </c>
      <c r="J73" s="6">
        <v>2263</v>
      </c>
    </row>
    <row r="74" spans="1:10" x14ac:dyDescent="0.2">
      <c r="A74" s="2" t="s">
        <v>91</v>
      </c>
      <c r="B74" s="6">
        <v>83</v>
      </c>
      <c r="C74" s="6">
        <v>514</v>
      </c>
      <c r="D74" s="6">
        <v>63</v>
      </c>
      <c r="E74" s="6">
        <v>387</v>
      </c>
      <c r="F74" s="6">
        <v>18</v>
      </c>
      <c r="G74" s="6">
        <v>121</v>
      </c>
      <c r="H74" s="6">
        <v>597</v>
      </c>
      <c r="I74" s="6">
        <v>450</v>
      </c>
      <c r="J74" s="6">
        <v>139</v>
      </c>
    </row>
    <row r="75" spans="1:10" x14ac:dyDescent="0.2">
      <c r="A75" s="2" t="s">
        <v>12</v>
      </c>
      <c r="B75" s="6">
        <v>3388</v>
      </c>
      <c r="C75" s="6">
        <v>3212</v>
      </c>
      <c r="D75" s="6">
        <v>746</v>
      </c>
      <c r="E75" s="6">
        <v>666</v>
      </c>
      <c r="F75" s="6">
        <v>574</v>
      </c>
      <c r="G75" s="6">
        <v>515</v>
      </c>
      <c r="H75" s="6">
        <v>6600</v>
      </c>
      <c r="I75" s="6">
        <v>1412</v>
      </c>
      <c r="J75" s="6">
        <v>1089</v>
      </c>
    </row>
    <row r="76" spans="1:10" x14ac:dyDescent="0.2">
      <c r="A76" s="2" t="s">
        <v>53</v>
      </c>
      <c r="B76" s="6"/>
      <c r="C76" s="6">
        <v>1744</v>
      </c>
      <c r="D76" s="6"/>
      <c r="E76" s="6">
        <v>1744</v>
      </c>
      <c r="F76" s="6"/>
      <c r="G76" s="6">
        <v>1225</v>
      </c>
      <c r="H76" s="6">
        <v>1744</v>
      </c>
      <c r="I76" s="6">
        <v>1744</v>
      </c>
      <c r="J76" s="6">
        <v>1225</v>
      </c>
    </row>
    <row r="77" spans="1:10" x14ac:dyDescent="0.2">
      <c r="A77" s="2" t="s">
        <v>144</v>
      </c>
      <c r="B77" s="6">
        <v>629</v>
      </c>
      <c r="C77" s="6">
        <v>1245</v>
      </c>
      <c r="D77" s="6">
        <v>445</v>
      </c>
      <c r="E77" s="6">
        <v>1038</v>
      </c>
      <c r="F77" s="6">
        <v>352</v>
      </c>
      <c r="G77" s="6">
        <v>824</v>
      </c>
      <c r="H77" s="6">
        <v>1874</v>
      </c>
      <c r="I77" s="6">
        <v>1483</v>
      </c>
      <c r="J77" s="6">
        <v>1176</v>
      </c>
    </row>
    <row r="78" spans="1:10" x14ac:dyDescent="0.2">
      <c r="A78" s="2" t="s">
        <v>95</v>
      </c>
      <c r="B78" s="6">
        <v>6773</v>
      </c>
      <c r="C78" s="6">
        <v>4617</v>
      </c>
      <c r="D78" s="6">
        <v>6773</v>
      </c>
      <c r="E78" s="6">
        <v>4617</v>
      </c>
      <c r="F78" s="6">
        <v>3825</v>
      </c>
      <c r="G78" s="6">
        <v>2607</v>
      </c>
      <c r="H78" s="6">
        <v>11390</v>
      </c>
      <c r="I78" s="6">
        <v>11390</v>
      </c>
      <c r="J78" s="6">
        <v>6432</v>
      </c>
    </row>
    <row r="79" spans="1:10" x14ac:dyDescent="0.2">
      <c r="A79" s="2" t="s">
        <v>64</v>
      </c>
      <c r="B79" s="6">
        <v>3</v>
      </c>
      <c r="C79" s="6">
        <v>12081</v>
      </c>
      <c r="D79" s="6">
        <v>3</v>
      </c>
      <c r="E79" s="6">
        <v>12081</v>
      </c>
      <c r="F79" s="6">
        <v>1</v>
      </c>
      <c r="G79" s="6">
        <v>9101</v>
      </c>
      <c r="H79" s="6">
        <v>12084</v>
      </c>
      <c r="I79" s="6">
        <v>12084</v>
      </c>
      <c r="J79" s="6">
        <v>9102</v>
      </c>
    </row>
    <row r="80" spans="1:10" x14ac:dyDescent="0.2">
      <c r="A80" s="2" t="s">
        <v>68</v>
      </c>
      <c r="B80" s="6">
        <v>22011</v>
      </c>
      <c r="C80" s="6">
        <v>60479</v>
      </c>
      <c r="D80" s="6">
        <v>22011</v>
      </c>
      <c r="E80" s="6">
        <v>60479</v>
      </c>
      <c r="F80" s="6">
        <v>15857</v>
      </c>
      <c r="G80" s="6">
        <v>46956</v>
      </c>
      <c r="H80" s="6">
        <v>82490</v>
      </c>
      <c r="I80" s="6">
        <v>82490</v>
      </c>
      <c r="J80" s="6">
        <v>62813</v>
      </c>
    </row>
    <row r="81" spans="1:10" x14ac:dyDescent="0.2">
      <c r="A81" s="2" t="s">
        <v>74</v>
      </c>
      <c r="B81" s="6"/>
      <c r="C81" s="6">
        <v>1251</v>
      </c>
      <c r="D81" s="6"/>
      <c r="E81" s="6">
        <v>1251</v>
      </c>
      <c r="F81" s="6"/>
      <c r="G81" s="6">
        <v>503</v>
      </c>
      <c r="H81" s="6">
        <v>1251</v>
      </c>
      <c r="I81" s="6">
        <v>1251</v>
      </c>
      <c r="J81" s="6">
        <v>503</v>
      </c>
    </row>
    <row r="82" spans="1:10" x14ac:dyDescent="0.2">
      <c r="A82" s="2" t="s">
        <v>85</v>
      </c>
      <c r="B82" s="6"/>
      <c r="C82" s="6">
        <v>10536</v>
      </c>
      <c r="D82" s="6"/>
      <c r="E82" s="6">
        <v>8022</v>
      </c>
      <c r="F82" s="6"/>
      <c r="G82" s="6">
        <v>4232</v>
      </c>
      <c r="H82" s="6">
        <v>10536</v>
      </c>
      <c r="I82" s="6">
        <v>8022</v>
      </c>
      <c r="J82" s="6">
        <v>4232</v>
      </c>
    </row>
    <row r="83" spans="1:10" x14ac:dyDescent="0.2">
      <c r="A83" s="2" t="s">
        <v>102</v>
      </c>
      <c r="B83" s="6"/>
      <c r="C83" s="6">
        <v>5497</v>
      </c>
      <c r="D83" s="6"/>
      <c r="E83" s="6">
        <v>5497</v>
      </c>
      <c r="F83" s="6"/>
      <c r="G83" s="6">
        <v>2532</v>
      </c>
      <c r="H83" s="6">
        <v>5497</v>
      </c>
      <c r="I83" s="6">
        <v>5497</v>
      </c>
      <c r="J83" s="6">
        <v>2532</v>
      </c>
    </row>
    <row r="84" spans="1:10" x14ac:dyDescent="0.2">
      <c r="A84" s="2" t="s">
        <v>126</v>
      </c>
      <c r="B84" s="6"/>
      <c r="C84" s="6">
        <v>36</v>
      </c>
      <c r="D84" s="6"/>
      <c r="E84" s="6">
        <v>36</v>
      </c>
      <c r="F84" s="6"/>
      <c r="G84" s="6">
        <v>1</v>
      </c>
      <c r="H84" s="6">
        <v>36</v>
      </c>
      <c r="I84" s="6">
        <v>36</v>
      </c>
      <c r="J84" s="6">
        <v>1</v>
      </c>
    </row>
    <row r="85" spans="1:10" x14ac:dyDescent="0.2">
      <c r="A85" s="2" t="s">
        <v>116</v>
      </c>
      <c r="B85" s="6">
        <v>42686</v>
      </c>
      <c r="C85" s="6">
        <v>42438</v>
      </c>
      <c r="D85" s="6">
        <v>10890</v>
      </c>
      <c r="E85" s="6">
        <v>10816</v>
      </c>
      <c r="F85" s="6">
        <v>4152</v>
      </c>
      <c r="G85" s="6">
        <v>4346</v>
      </c>
      <c r="H85" s="6">
        <v>85124</v>
      </c>
      <c r="I85" s="6">
        <v>21706</v>
      </c>
      <c r="J85" s="6">
        <v>8498</v>
      </c>
    </row>
    <row r="86" spans="1:10" x14ac:dyDescent="0.2">
      <c r="A86" s="2" t="s">
        <v>58</v>
      </c>
      <c r="B86" s="6"/>
      <c r="C86" s="6">
        <v>1882</v>
      </c>
      <c r="D86" s="6"/>
      <c r="E86" s="6">
        <v>1514</v>
      </c>
      <c r="F86" s="6"/>
      <c r="G86" s="6">
        <v>851</v>
      </c>
      <c r="H86" s="6">
        <v>1882</v>
      </c>
      <c r="I86" s="6">
        <v>1514</v>
      </c>
      <c r="J86" s="6">
        <v>851</v>
      </c>
    </row>
    <row r="87" spans="1:10" x14ac:dyDescent="0.2">
      <c r="A87" s="2" t="s">
        <v>65</v>
      </c>
      <c r="B87" s="6">
        <v>53</v>
      </c>
      <c r="C87" s="6">
        <v>1838</v>
      </c>
      <c r="D87" s="6">
        <v>53</v>
      </c>
      <c r="E87" s="6">
        <v>1838</v>
      </c>
      <c r="F87" s="6">
        <v>37</v>
      </c>
      <c r="G87" s="6">
        <v>1310</v>
      </c>
      <c r="H87" s="6">
        <v>1891</v>
      </c>
      <c r="I87" s="6">
        <v>1891</v>
      </c>
      <c r="J87" s="6">
        <v>1347</v>
      </c>
    </row>
    <row r="88" spans="1:10" x14ac:dyDescent="0.2">
      <c r="A88" s="2" t="s">
        <v>96</v>
      </c>
      <c r="B88" s="6"/>
      <c r="C88" s="6">
        <v>442</v>
      </c>
      <c r="D88" s="6"/>
      <c r="E88" s="6">
        <v>352</v>
      </c>
      <c r="F88" s="6"/>
      <c r="G88" s="6">
        <v>220</v>
      </c>
      <c r="H88" s="6">
        <v>442</v>
      </c>
      <c r="I88" s="6">
        <v>352</v>
      </c>
      <c r="J88" s="6">
        <v>220</v>
      </c>
    </row>
    <row r="89" spans="1:10" x14ac:dyDescent="0.2">
      <c r="A89" s="2" t="s">
        <v>117</v>
      </c>
      <c r="B89" s="6"/>
      <c r="C89" s="6">
        <v>650</v>
      </c>
      <c r="D89" s="6"/>
      <c r="E89" s="6">
        <v>650</v>
      </c>
      <c r="F89" s="6"/>
      <c r="G89" s="6">
        <v>510</v>
      </c>
      <c r="H89" s="6">
        <v>650</v>
      </c>
      <c r="I89" s="6">
        <v>650</v>
      </c>
      <c r="J89" s="6">
        <v>510</v>
      </c>
    </row>
    <row r="90" spans="1:10" x14ac:dyDescent="0.2">
      <c r="A90" s="2" t="s">
        <v>162</v>
      </c>
      <c r="B90" s="6"/>
      <c r="C90" s="6">
        <v>785</v>
      </c>
      <c r="D90" s="6"/>
      <c r="E90" s="6">
        <v>785</v>
      </c>
      <c r="F90" s="6"/>
      <c r="G90" s="6">
        <v>565</v>
      </c>
      <c r="H90" s="6">
        <v>785</v>
      </c>
      <c r="I90" s="6">
        <v>785</v>
      </c>
      <c r="J90" s="6">
        <v>565</v>
      </c>
    </row>
    <row r="91" spans="1:10" x14ac:dyDescent="0.2">
      <c r="A91" s="2" t="s">
        <v>13</v>
      </c>
      <c r="B91" s="6">
        <v>32491</v>
      </c>
      <c r="C91" s="6">
        <v>37875</v>
      </c>
      <c r="D91" s="6">
        <v>32491</v>
      </c>
      <c r="E91" s="6">
        <v>37875</v>
      </c>
      <c r="F91" s="6">
        <v>23806</v>
      </c>
      <c r="G91" s="6">
        <v>28683</v>
      </c>
      <c r="H91" s="6">
        <v>70366</v>
      </c>
      <c r="I91" s="6">
        <v>70366</v>
      </c>
      <c r="J91" s="6">
        <v>52489</v>
      </c>
    </row>
    <row r="92" spans="1:10" x14ac:dyDescent="0.2">
      <c r="A92" s="2" t="s">
        <v>128</v>
      </c>
      <c r="B92" s="6"/>
      <c r="C92" s="6">
        <v>661</v>
      </c>
      <c r="D92" s="6"/>
      <c r="E92" s="6">
        <v>476</v>
      </c>
      <c r="F92" s="6"/>
      <c r="G92" s="6">
        <v>192</v>
      </c>
      <c r="H92" s="6">
        <v>661</v>
      </c>
      <c r="I92" s="6">
        <v>476</v>
      </c>
      <c r="J92" s="6">
        <v>192</v>
      </c>
    </row>
    <row r="93" spans="1:10" x14ac:dyDescent="0.2">
      <c r="A93" s="2" t="s">
        <v>23</v>
      </c>
      <c r="B93" s="6">
        <v>25</v>
      </c>
      <c r="C93" s="6">
        <v>5702</v>
      </c>
      <c r="D93" s="6">
        <v>25</v>
      </c>
      <c r="E93" s="6">
        <v>5702</v>
      </c>
      <c r="F93" s="6">
        <v>16</v>
      </c>
      <c r="G93" s="6">
        <v>3480</v>
      </c>
      <c r="H93" s="6">
        <v>5727</v>
      </c>
      <c r="I93" s="6">
        <v>5727</v>
      </c>
      <c r="J93" s="6">
        <v>3496</v>
      </c>
    </row>
    <row r="94" spans="1:10" x14ac:dyDescent="0.2">
      <c r="A94" s="2" t="s">
        <v>70</v>
      </c>
      <c r="B94" s="6">
        <v>2</v>
      </c>
      <c r="C94" s="6">
        <v>3293</v>
      </c>
      <c r="D94" s="6">
        <v>2</v>
      </c>
      <c r="E94" s="6">
        <v>3293</v>
      </c>
      <c r="F94" s="6">
        <v>2</v>
      </c>
      <c r="G94" s="6">
        <v>2425</v>
      </c>
      <c r="H94" s="6">
        <v>3295</v>
      </c>
      <c r="I94" s="6">
        <v>3295</v>
      </c>
      <c r="J94" s="6">
        <v>2427</v>
      </c>
    </row>
    <row r="95" spans="1:10" x14ac:dyDescent="0.2">
      <c r="A95" s="2" t="s">
        <v>122</v>
      </c>
      <c r="B95" s="6">
        <v>5</v>
      </c>
      <c r="C95" s="6">
        <v>6031</v>
      </c>
      <c r="D95" s="6">
        <v>5</v>
      </c>
      <c r="E95" s="6">
        <v>6031</v>
      </c>
      <c r="F95" s="6">
        <v>2</v>
      </c>
      <c r="G95" s="6">
        <v>4559</v>
      </c>
      <c r="H95" s="6">
        <v>6036</v>
      </c>
      <c r="I95" s="6">
        <v>6036</v>
      </c>
      <c r="J95" s="6">
        <v>4561</v>
      </c>
    </row>
    <row r="96" spans="1:10" x14ac:dyDescent="0.2">
      <c r="A96" s="2" t="s">
        <v>89</v>
      </c>
      <c r="B96" s="6"/>
      <c r="C96" s="6">
        <v>33</v>
      </c>
      <c r="D96" s="6"/>
      <c r="E96" s="6">
        <v>33</v>
      </c>
      <c r="F96" s="6"/>
      <c r="G96" s="6">
        <v>0</v>
      </c>
      <c r="H96" s="6">
        <v>33</v>
      </c>
      <c r="I96" s="6">
        <v>33</v>
      </c>
      <c r="J96" s="6">
        <v>0</v>
      </c>
    </row>
    <row r="97" spans="1:10" x14ac:dyDescent="0.2">
      <c r="A97" s="2" t="s">
        <v>32</v>
      </c>
      <c r="B97" s="6">
        <v>1</v>
      </c>
      <c r="C97" s="6">
        <v>43</v>
      </c>
      <c r="D97" s="6">
        <v>1</v>
      </c>
      <c r="E97" s="6">
        <v>41</v>
      </c>
      <c r="F97" s="6">
        <v>0</v>
      </c>
      <c r="G97" s="6">
        <v>7</v>
      </c>
      <c r="H97" s="6">
        <v>44</v>
      </c>
      <c r="I97" s="6">
        <v>42</v>
      </c>
      <c r="J97" s="6">
        <v>7</v>
      </c>
    </row>
    <row r="98" spans="1:10" x14ac:dyDescent="0.2">
      <c r="A98" s="2" t="s">
        <v>139</v>
      </c>
      <c r="B98" s="6">
        <v>1045</v>
      </c>
      <c r="C98" s="6">
        <v>1122</v>
      </c>
      <c r="D98" s="6">
        <v>23</v>
      </c>
      <c r="E98" s="6">
        <v>28</v>
      </c>
      <c r="F98" s="6">
        <v>11</v>
      </c>
      <c r="G98" s="6">
        <v>18</v>
      </c>
      <c r="H98" s="6">
        <v>2167</v>
      </c>
      <c r="I98" s="6">
        <v>51</v>
      </c>
      <c r="J98" s="6">
        <v>29</v>
      </c>
    </row>
    <row r="99" spans="1:10" x14ac:dyDescent="0.2">
      <c r="A99" s="2" t="s">
        <v>100</v>
      </c>
      <c r="B99" s="6">
        <v>9993</v>
      </c>
      <c r="C99" s="6">
        <v>19491</v>
      </c>
      <c r="D99" s="6">
        <v>9993</v>
      </c>
      <c r="E99" s="6">
        <v>19491</v>
      </c>
      <c r="F99" s="6">
        <v>5758</v>
      </c>
      <c r="G99" s="6">
        <v>11615</v>
      </c>
      <c r="H99" s="6">
        <v>29484</v>
      </c>
      <c r="I99" s="6">
        <v>29484</v>
      </c>
      <c r="J99" s="6">
        <v>17373</v>
      </c>
    </row>
    <row r="100" spans="1:10" x14ac:dyDescent="0.2">
      <c r="A100" s="2" t="s">
        <v>112</v>
      </c>
      <c r="B100" s="6"/>
      <c r="C100" s="6">
        <v>44</v>
      </c>
      <c r="D100" s="6"/>
      <c r="E100" s="6">
        <v>39</v>
      </c>
      <c r="F100" s="6"/>
      <c r="G100" s="6">
        <v>5</v>
      </c>
      <c r="H100" s="6">
        <v>44</v>
      </c>
      <c r="I100" s="6">
        <v>39</v>
      </c>
      <c r="J100" s="6">
        <v>5</v>
      </c>
    </row>
    <row r="101" spans="1:10" x14ac:dyDescent="0.2">
      <c r="A101" s="2" t="s">
        <v>86</v>
      </c>
      <c r="B101" s="6">
        <v>5753</v>
      </c>
      <c r="C101" s="6">
        <v>6245</v>
      </c>
      <c r="D101" s="6">
        <v>174</v>
      </c>
      <c r="E101" s="6">
        <v>403</v>
      </c>
      <c r="F101" s="6">
        <v>133</v>
      </c>
      <c r="G101" s="6">
        <v>319</v>
      </c>
      <c r="H101" s="6">
        <v>11998</v>
      </c>
      <c r="I101" s="6">
        <v>577</v>
      </c>
      <c r="J101" s="6">
        <v>452</v>
      </c>
    </row>
    <row r="102" spans="1:10" x14ac:dyDescent="0.2">
      <c r="A102" s="2" t="s">
        <v>140</v>
      </c>
      <c r="B102" s="6">
        <v>2819</v>
      </c>
      <c r="C102" s="6">
        <v>2894</v>
      </c>
      <c r="D102" s="6">
        <v>376</v>
      </c>
      <c r="E102" s="6">
        <v>361</v>
      </c>
      <c r="F102" s="6">
        <v>140</v>
      </c>
      <c r="G102" s="6">
        <v>164</v>
      </c>
      <c r="H102" s="6">
        <v>5713</v>
      </c>
      <c r="I102" s="6">
        <v>737</v>
      </c>
      <c r="J102" s="6">
        <v>304</v>
      </c>
    </row>
    <row r="103" spans="1:10" x14ac:dyDescent="0.2">
      <c r="A103" s="2" t="s">
        <v>80</v>
      </c>
      <c r="B103" s="6">
        <v>29</v>
      </c>
      <c r="C103" s="6">
        <v>1026</v>
      </c>
      <c r="D103" s="6">
        <v>29</v>
      </c>
      <c r="E103" s="6">
        <v>1026</v>
      </c>
      <c r="F103" s="6">
        <v>26</v>
      </c>
      <c r="G103" s="6">
        <v>799</v>
      </c>
      <c r="H103" s="6">
        <v>1055</v>
      </c>
      <c r="I103" s="6">
        <v>1055</v>
      </c>
      <c r="J103" s="6">
        <v>825</v>
      </c>
    </row>
    <row r="104" spans="1:10" x14ac:dyDescent="0.2">
      <c r="A104" s="2" t="s">
        <v>26</v>
      </c>
      <c r="B104" s="6"/>
      <c r="C104" s="6">
        <v>39</v>
      </c>
      <c r="D104" s="6"/>
      <c r="E104" s="6">
        <v>33</v>
      </c>
      <c r="F104" s="6"/>
      <c r="G104" s="6">
        <v>1</v>
      </c>
      <c r="H104" s="6">
        <v>39</v>
      </c>
      <c r="I104" s="6">
        <v>33</v>
      </c>
      <c r="J104" s="6">
        <v>1</v>
      </c>
    </row>
    <row r="105" spans="1:10" x14ac:dyDescent="0.2">
      <c r="A105" s="2" t="s">
        <v>145</v>
      </c>
      <c r="B105" s="6"/>
      <c r="C105" s="6">
        <v>264</v>
      </c>
      <c r="D105" s="6"/>
      <c r="E105" s="6">
        <v>264</v>
      </c>
      <c r="F105" s="6"/>
      <c r="G105" s="6">
        <v>192</v>
      </c>
      <c r="H105" s="6">
        <v>264</v>
      </c>
      <c r="I105" s="6">
        <v>264</v>
      </c>
      <c r="J105" s="6">
        <v>192</v>
      </c>
    </row>
    <row r="106" spans="1:10" x14ac:dyDescent="0.2">
      <c r="A106" s="2" t="s">
        <v>166</v>
      </c>
      <c r="B106" s="6">
        <v>856</v>
      </c>
      <c r="C106" s="6">
        <v>936</v>
      </c>
      <c r="D106" s="6">
        <v>21</v>
      </c>
      <c r="E106" s="6">
        <v>21</v>
      </c>
      <c r="F106" s="6">
        <v>18</v>
      </c>
      <c r="G106" s="6">
        <v>17</v>
      </c>
      <c r="H106" s="6">
        <v>1792</v>
      </c>
      <c r="I106" s="6">
        <v>42</v>
      </c>
      <c r="J106" s="6">
        <v>35</v>
      </c>
    </row>
    <row r="107" spans="1:10" x14ac:dyDescent="0.2">
      <c r="A107" s="2" t="s">
        <v>113</v>
      </c>
      <c r="B107" s="6"/>
      <c r="C107" s="6">
        <v>1</v>
      </c>
      <c r="D107" s="6"/>
      <c r="E107" s="6">
        <v>0</v>
      </c>
      <c r="F107" s="6"/>
      <c r="G107" s="6">
        <v>0</v>
      </c>
      <c r="H107" s="6">
        <v>1</v>
      </c>
      <c r="I107" s="6">
        <v>0</v>
      </c>
      <c r="J107" s="6">
        <v>0</v>
      </c>
    </row>
    <row r="108" spans="1:10" x14ac:dyDescent="0.2">
      <c r="A108" s="2" t="s">
        <v>59</v>
      </c>
      <c r="B108" s="6"/>
      <c r="C108" s="6">
        <v>34</v>
      </c>
      <c r="D108" s="6"/>
      <c r="E108" s="6">
        <v>34</v>
      </c>
      <c r="F108" s="6"/>
      <c r="G108" s="6">
        <v>3</v>
      </c>
      <c r="H108" s="6">
        <v>34</v>
      </c>
      <c r="I108" s="6">
        <v>34</v>
      </c>
      <c r="J108" s="6">
        <v>3</v>
      </c>
    </row>
    <row r="109" spans="1:10" x14ac:dyDescent="0.2">
      <c r="A109" s="2" t="s">
        <v>37</v>
      </c>
      <c r="B109" s="6">
        <v>3561</v>
      </c>
      <c r="C109" s="6">
        <v>2008</v>
      </c>
      <c r="D109" s="6">
        <v>1574</v>
      </c>
      <c r="E109" s="6">
        <v>487</v>
      </c>
      <c r="F109" s="6">
        <v>341</v>
      </c>
      <c r="G109" s="6">
        <v>133</v>
      </c>
      <c r="H109" s="6">
        <v>5569</v>
      </c>
      <c r="I109" s="6">
        <v>2061</v>
      </c>
      <c r="J109" s="6">
        <v>474</v>
      </c>
    </row>
    <row r="110" spans="1:10" x14ac:dyDescent="0.2">
      <c r="A110" s="2" t="s">
        <v>169</v>
      </c>
      <c r="B110" s="6"/>
      <c r="C110" s="6">
        <v>559</v>
      </c>
      <c r="D110" s="6"/>
      <c r="E110" s="6">
        <v>559</v>
      </c>
      <c r="F110" s="6"/>
      <c r="G110" s="6">
        <v>244</v>
      </c>
      <c r="H110" s="6">
        <v>559</v>
      </c>
      <c r="I110" s="6">
        <v>559</v>
      </c>
      <c r="J110" s="6">
        <v>244</v>
      </c>
    </row>
    <row r="111" spans="1:10" x14ac:dyDescent="0.2">
      <c r="A111" s="2" t="s">
        <v>54</v>
      </c>
      <c r="B111" s="6">
        <v>9</v>
      </c>
      <c r="C111" s="6">
        <v>4554</v>
      </c>
      <c r="D111" s="6">
        <v>9</v>
      </c>
      <c r="E111" s="6">
        <v>3545</v>
      </c>
      <c r="F111" s="6">
        <v>5</v>
      </c>
      <c r="G111" s="6">
        <v>1625</v>
      </c>
      <c r="H111" s="6">
        <v>4563</v>
      </c>
      <c r="I111" s="6">
        <v>3554</v>
      </c>
      <c r="J111" s="6">
        <v>1630</v>
      </c>
    </row>
    <row r="112" spans="1:10" x14ac:dyDescent="0.2">
      <c r="A112" s="2" t="s">
        <v>134</v>
      </c>
      <c r="B112" s="6"/>
      <c r="C112" s="6">
        <v>890</v>
      </c>
      <c r="D112" s="6"/>
      <c r="E112" s="6">
        <v>669</v>
      </c>
      <c r="F112" s="6"/>
      <c r="G112" s="6">
        <v>316</v>
      </c>
      <c r="H112" s="6">
        <v>890</v>
      </c>
      <c r="I112" s="6">
        <v>669</v>
      </c>
      <c r="J112" s="6">
        <v>316</v>
      </c>
    </row>
    <row r="113" spans="1:10" x14ac:dyDescent="0.2">
      <c r="A113" s="2" t="s">
        <v>92</v>
      </c>
      <c r="B113" s="6"/>
      <c r="C113" s="6">
        <v>3084</v>
      </c>
      <c r="D113" s="6"/>
      <c r="E113" s="6">
        <v>2081</v>
      </c>
      <c r="F113" s="6"/>
      <c r="G113" s="6">
        <v>862</v>
      </c>
      <c r="H113" s="6">
        <v>3084</v>
      </c>
      <c r="I113" s="6">
        <v>2081</v>
      </c>
      <c r="J113" s="6">
        <v>862</v>
      </c>
    </row>
    <row r="114" spans="1:10" x14ac:dyDescent="0.2">
      <c r="A114" s="2" t="s">
        <v>121</v>
      </c>
      <c r="B114" s="6">
        <v>1335</v>
      </c>
      <c r="C114" s="6">
        <v>1393</v>
      </c>
      <c r="D114" s="6">
        <v>18</v>
      </c>
      <c r="E114" s="6">
        <v>48</v>
      </c>
      <c r="F114" s="6">
        <v>11</v>
      </c>
      <c r="G114" s="6">
        <v>18</v>
      </c>
      <c r="H114" s="6">
        <v>2728</v>
      </c>
      <c r="I114" s="6">
        <v>66</v>
      </c>
      <c r="J114" s="6">
        <v>29</v>
      </c>
    </row>
    <row r="115" spans="1:10" x14ac:dyDescent="0.2">
      <c r="A115" s="2" t="s">
        <v>127</v>
      </c>
      <c r="B115" s="6">
        <v>4209</v>
      </c>
      <c r="C115" s="6">
        <v>3551</v>
      </c>
      <c r="D115" s="6">
        <v>3693</v>
      </c>
      <c r="E115" s="6">
        <v>2981</v>
      </c>
      <c r="F115" s="6">
        <v>2482</v>
      </c>
      <c r="G115" s="6">
        <v>2119</v>
      </c>
      <c r="H115" s="6">
        <v>7760</v>
      </c>
      <c r="I115" s="6">
        <v>6674</v>
      </c>
      <c r="J115" s="6">
        <v>4601</v>
      </c>
    </row>
    <row r="116" spans="1:10" x14ac:dyDescent="0.2">
      <c r="A116" s="2" t="s">
        <v>29</v>
      </c>
      <c r="B116" s="6">
        <v>5</v>
      </c>
      <c r="C116" s="6">
        <v>110</v>
      </c>
      <c r="D116" s="6">
        <v>4</v>
      </c>
      <c r="E116" s="6">
        <v>63</v>
      </c>
      <c r="F116" s="6">
        <v>1</v>
      </c>
      <c r="G116" s="6">
        <v>11</v>
      </c>
      <c r="H116" s="6">
        <v>115</v>
      </c>
      <c r="I116" s="6">
        <v>67</v>
      </c>
      <c r="J116" s="6">
        <v>12</v>
      </c>
    </row>
    <row r="117" spans="1:10" x14ac:dyDescent="0.2">
      <c r="A117" s="2" t="s">
        <v>105</v>
      </c>
      <c r="B117" s="6">
        <v>8261</v>
      </c>
      <c r="C117" s="6">
        <v>8511</v>
      </c>
      <c r="D117" s="6">
        <v>25</v>
      </c>
      <c r="E117" s="6">
        <v>59</v>
      </c>
      <c r="F117" s="6">
        <v>5</v>
      </c>
      <c r="G117" s="6">
        <v>25</v>
      </c>
      <c r="H117" s="6">
        <v>16772</v>
      </c>
      <c r="I117" s="6">
        <v>84</v>
      </c>
      <c r="J117" s="6">
        <v>30</v>
      </c>
    </row>
    <row r="118" spans="1:10" x14ac:dyDescent="0.2">
      <c r="A118" s="2" t="s">
        <v>106</v>
      </c>
      <c r="B118" s="6">
        <v>312</v>
      </c>
      <c r="C118" s="6">
        <v>361</v>
      </c>
      <c r="D118" s="6">
        <v>0</v>
      </c>
      <c r="E118" s="6">
        <v>2</v>
      </c>
      <c r="F118" s="6">
        <v>0</v>
      </c>
      <c r="G118" s="6">
        <v>2</v>
      </c>
      <c r="H118" s="6">
        <v>673</v>
      </c>
      <c r="I118" s="6">
        <v>2</v>
      </c>
      <c r="J118" s="6">
        <v>2</v>
      </c>
    </row>
    <row r="119" spans="1:10" x14ac:dyDescent="0.2">
      <c r="A119" s="2" t="s">
        <v>75</v>
      </c>
      <c r="B119" s="6"/>
      <c r="C119" s="6">
        <v>4967</v>
      </c>
      <c r="D119" s="6"/>
      <c r="E119" s="6">
        <v>4967</v>
      </c>
      <c r="F119" s="6"/>
      <c r="G119" s="6">
        <v>3269</v>
      </c>
      <c r="H119" s="6">
        <v>4967</v>
      </c>
      <c r="I119" s="6">
        <v>4967</v>
      </c>
      <c r="J119" s="6">
        <v>3269</v>
      </c>
    </row>
    <row r="120" spans="1:10" x14ac:dyDescent="0.2">
      <c r="A120" s="2" t="s">
        <v>148</v>
      </c>
      <c r="B120" s="6">
        <v>4</v>
      </c>
      <c r="C120" s="6">
        <v>58</v>
      </c>
      <c r="D120" s="6">
        <v>3</v>
      </c>
      <c r="E120" s="6">
        <v>39</v>
      </c>
      <c r="F120" s="6">
        <v>1</v>
      </c>
      <c r="G120" s="6">
        <v>18</v>
      </c>
      <c r="H120" s="6">
        <v>62</v>
      </c>
      <c r="I120" s="6">
        <v>42</v>
      </c>
      <c r="J120" s="6">
        <v>19</v>
      </c>
    </row>
    <row r="121" spans="1:10" x14ac:dyDescent="0.2">
      <c r="A121" s="2" t="s">
        <v>137</v>
      </c>
      <c r="B121" s="6"/>
      <c r="C121" s="6">
        <v>32</v>
      </c>
      <c r="D121" s="6"/>
      <c r="E121" s="6">
        <v>32</v>
      </c>
      <c r="F121" s="6"/>
      <c r="G121" s="6">
        <v>1</v>
      </c>
      <c r="H121" s="6">
        <v>32</v>
      </c>
      <c r="I121" s="6">
        <v>32</v>
      </c>
      <c r="J121" s="6">
        <v>1</v>
      </c>
    </row>
    <row r="122" spans="1:10" x14ac:dyDescent="0.2">
      <c r="A122" s="2" t="s">
        <v>43</v>
      </c>
      <c r="B122" s="6"/>
      <c r="C122" s="6">
        <v>79</v>
      </c>
      <c r="D122" s="6"/>
      <c r="E122" s="6">
        <v>79</v>
      </c>
      <c r="F122" s="6"/>
      <c r="G122" s="6">
        <v>39</v>
      </c>
      <c r="H122" s="6">
        <v>79</v>
      </c>
      <c r="I122" s="6">
        <v>79</v>
      </c>
      <c r="J122" s="6">
        <v>39</v>
      </c>
    </row>
    <row r="123" spans="1:10" x14ac:dyDescent="0.2">
      <c r="A123" s="2" t="s">
        <v>8</v>
      </c>
      <c r="B123" s="6"/>
      <c r="C123" s="6">
        <v>40</v>
      </c>
      <c r="D123" s="6"/>
      <c r="E123" s="6">
        <v>39</v>
      </c>
      <c r="F123" s="6"/>
      <c r="G123" s="6">
        <v>3</v>
      </c>
      <c r="H123" s="6">
        <v>40</v>
      </c>
      <c r="I123" s="6">
        <v>39</v>
      </c>
      <c r="J123" s="6">
        <v>3</v>
      </c>
    </row>
    <row r="124" spans="1:10" x14ac:dyDescent="0.2">
      <c r="A124" s="2" t="s">
        <v>103</v>
      </c>
      <c r="B124" s="6">
        <v>890</v>
      </c>
      <c r="C124" s="6">
        <v>1196</v>
      </c>
      <c r="D124" s="6">
        <v>890</v>
      </c>
      <c r="E124" s="6">
        <v>1196</v>
      </c>
      <c r="F124" s="6">
        <v>677</v>
      </c>
      <c r="G124" s="6">
        <v>907</v>
      </c>
      <c r="H124" s="6">
        <v>2086</v>
      </c>
      <c r="I124" s="6">
        <v>2086</v>
      </c>
      <c r="J124" s="6">
        <v>1584</v>
      </c>
    </row>
    <row r="125" spans="1:10" x14ac:dyDescent="0.2">
      <c r="A125" s="2" t="s">
        <v>172</v>
      </c>
      <c r="B125" s="6"/>
      <c r="C125" s="6">
        <v>79</v>
      </c>
      <c r="D125" s="6"/>
      <c r="E125" s="6">
        <v>79</v>
      </c>
      <c r="F125" s="6"/>
      <c r="G125" s="6">
        <v>60</v>
      </c>
      <c r="H125" s="6">
        <v>79</v>
      </c>
      <c r="I125" s="6">
        <v>79</v>
      </c>
      <c r="J125" s="6">
        <v>60</v>
      </c>
    </row>
    <row r="126" spans="1:10" x14ac:dyDescent="0.2">
      <c r="A126" s="2" t="s">
        <v>168</v>
      </c>
      <c r="B126" s="6"/>
      <c r="C126" s="6">
        <v>22</v>
      </c>
      <c r="D126" s="6"/>
      <c r="E126" s="6">
        <v>12</v>
      </c>
      <c r="F126" s="6"/>
      <c r="G126" s="6">
        <v>2</v>
      </c>
      <c r="H126" s="6">
        <v>22</v>
      </c>
      <c r="I126" s="6">
        <v>12</v>
      </c>
      <c r="J126" s="6">
        <v>2</v>
      </c>
    </row>
    <row r="127" spans="1:10" x14ac:dyDescent="0.2">
      <c r="A127" s="2" t="s">
        <v>138</v>
      </c>
      <c r="B127" s="6"/>
      <c r="C127" s="6">
        <v>694</v>
      </c>
      <c r="D127" s="6"/>
      <c r="E127" s="6">
        <v>390</v>
      </c>
      <c r="F127" s="6"/>
      <c r="G127" s="6">
        <v>156</v>
      </c>
      <c r="H127" s="6">
        <v>694</v>
      </c>
      <c r="I127" s="6">
        <v>390</v>
      </c>
      <c r="J127" s="6">
        <v>156</v>
      </c>
    </row>
    <row r="128" spans="1:10" x14ac:dyDescent="0.2">
      <c r="A128" s="2" t="s">
        <v>87</v>
      </c>
      <c r="B128" s="6">
        <v>7029</v>
      </c>
      <c r="C128" s="6">
        <v>13196</v>
      </c>
      <c r="D128" s="6">
        <v>2975</v>
      </c>
      <c r="E128" s="6">
        <v>7787</v>
      </c>
      <c r="F128" s="6">
        <v>1918</v>
      </c>
      <c r="G128" s="6">
        <v>4802</v>
      </c>
      <c r="H128" s="6">
        <v>20225</v>
      </c>
      <c r="I128" s="6">
        <v>10762</v>
      </c>
      <c r="J128" s="6">
        <v>6720</v>
      </c>
    </row>
    <row r="129" spans="1:10" x14ac:dyDescent="0.2">
      <c r="A129" s="2" t="s">
        <v>167</v>
      </c>
      <c r="B129" s="6">
        <v>1087</v>
      </c>
      <c r="C129" s="6">
        <v>282</v>
      </c>
      <c r="D129" s="6">
        <v>746</v>
      </c>
      <c r="E129" s="6">
        <v>176</v>
      </c>
      <c r="F129" s="6">
        <v>299</v>
      </c>
      <c r="G129" s="6">
        <v>74</v>
      </c>
      <c r="H129" s="6">
        <v>1369</v>
      </c>
      <c r="I129" s="6">
        <v>922</v>
      </c>
      <c r="J129" s="6">
        <v>373</v>
      </c>
    </row>
    <row r="130" spans="1:10" x14ac:dyDescent="0.2">
      <c r="A130" s="2" t="s">
        <v>170</v>
      </c>
      <c r="B130" s="6">
        <v>3308</v>
      </c>
      <c r="C130" s="6">
        <v>3465</v>
      </c>
      <c r="D130" s="6">
        <v>874</v>
      </c>
      <c r="E130" s="6">
        <v>1187</v>
      </c>
      <c r="F130" s="6">
        <v>324</v>
      </c>
      <c r="G130" s="6">
        <v>395</v>
      </c>
      <c r="H130" s="6">
        <v>6773</v>
      </c>
      <c r="I130" s="6">
        <v>2061</v>
      </c>
      <c r="J130" s="6">
        <v>719</v>
      </c>
    </row>
    <row r="131" spans="1:10" x14ac:dyDescent="0.2">
      <c r="A131" s="2" t="s">
        <v>143</v>
      </c>
      <c r="B131" s="6"/>
      <c r="C131" s="6">
        <v>86</v>
      </c>
      <c r="D131" s="6"/>
      <c r="E131" s="6">
        <v>45</v>
      </c>
      <c r="F131" s="6"/>
      <c r="G131" s="6">
        <v>15</v>
      </c>
      <c r="H131" s="6">
        <v>86</v>
      </c>
      <c r="I131" s="6">
        <v>45</v>
      </c>
      <c r="J131" s="6">
        <v>15</v>
      </c>
    </row>
    <row r="132" spans="1:10" x14ac:dyDescent="0.2">
      <c r="A132" s="2" t="s">
        <v>63</v>
      </c>
      <c r="B132" s="6">
        <v>5898</v>
      </c>
      <c r="C132" s="6">
        <v>5901</v>
      </c>
      <c r="D132" s="6">
        <v>687</v>
      </c>
      <c r="E132" s="6">
        <v>639</v>
      </c>
      <c r="F132" s="6">
        <v>251</v>
      </c>
      <c r="G132" s="6">
        <v>224</v>
      </c>
      <c r="H132" s="6">
        <v>11799</v>
      </c>
      <c r="I132" s="6">
        <v>1326</v>
      </c>
      <c r="J132" s="6">
        <v>475</v>
      </c>
    </row>
    <row r="133" spans="1:10" x14ac:dyDescent="0.2">
      <c r="A133" s="2" t="s">
        <v>109</v>
      </c>
      <c r="B133" s="6"/>
      <c r="C133" s="6">
        <v>2164</v>
      </c>
      <c r="D133" s="6"/>
      <c r="E133" s="6">
        <v>1790</v>
      </c>
      <c r="F133" s="6"/>
      <c r="G133" s="6">
        <v>1099</v>
      </c>
      <c r="H133" s="6">
        <v>2164</v>
      </c>
      <c r="I133" s="6">
        <v>1790</v>
      </c>
      <c r="J133" s="6">
        <v>1099</v>
      </c>
    </row>
    <row r="134" spans="1:10" x14ac:dyDescent="0.2">
      <c r="A134" s="2" t="s">
        <v>173</v>
      </c>
      <c r="B134" s="6"/>
      <c r="C134" s="6">
        <v>1696</v>
      </c>
      <c r="D134" s="6"/>
      <c r="E134" s="6">
        <v>1696</v>
      </c>
      <c r="F134" s="6"/>
      <c r="G134" s="6">
        <v>840</v>
      </c>
      <c r="H134" s="6">
        <v>1696</v>
      </c>
      <c r="I134" s="6">
        <v>1696</v>
      </c>
      <c r="J134" s="6">
        <v>840</v>
      </c>
    </row>
    <row r="135" spans="1:10" x14ac:dyDescent="0.2">
      <c r="A135" s="2" t="s">
        <v>47</v>
      </c>
      <c r="B135" s="6">
        <v>1</v>
      </c>
      <c r="C135" s="6">
        <v>15</v>
      </c>
      <c r="D135" s="6">
        <v>1</v>
      </c>
      <c r="E135" s="6">
        <v>15</v>
      </c>
      <c r="F135" s="6">
        <v>0</v>
      </c>
      <c r="G135" s="6">
        <v>9</v>
      </c>
      <c r="H135" s="6">
        <v>16</v>
      </c>
      <c r="I135" s="6">
        <v>16</v>
      </c>
      <c r="J135" s="6">
        <v>9</v>
      </c>
    </row>
    <row r="136" spans="1:10" x14ac:dyDescent="0.2">
      <c r="A136" s="2" t="s">
        <v>141</v>
      </c>
      <c r="B136" s="6">
        <v>5</v>
      </c>
      <c r="C136" s="6">
        <v>12052</v>
      </c>
      <c r="D136" s="6">
        <v>4</v>
      </c>
      <c r="E136" s="6">
        <v>9025</v>
      </c>
      <c r="F136" s="6">
        <v>1</v>
      </c>
      <c r="G136" s="6">
        <v>4405</v>
      </c>
      <c r="H136" s="6">
        <v>12057</v>
      </c>
      <c r="I136" s="6">
        <v>9029</v>
      </c>
      <c r="J136" s="6">
        <v>4406</v>
      </c>
    </row>
    <row r="137" spans="1:10" x14ac:dyDescent="0.2">
      <c r="A137" s="2" t="s">
        <v>159</v>
      </c>
      <c r="B137" s="6">
        <v>1811</v>
      </c>
      <c r="C137" s="6">
        <v>2778</v>
      </c>
      <c r="D137" s="6">
        <v>1213</v>
      </c>
      <c r="E137" s="6">
        <v>2142</v>
      </c>
      <c r="F137" s="6">
        <v>501</v>
      </c>
      <c r="G137" s="6">
        <v>977</v>
      </c>
      <c r="H137" s="6">
        <v>4589</v>
      </c>
      <c r="I137" s="6">
        <v>3355</v>
      </c>
      <c r="J137" s="6">
        <v>1478</v>
      </c>
    </row>
    <row r="138" spans="1:10" x14ac:dyDescent="0.2">
      <c r="A138" s="2" t="s">
        <v>33</v>
      </c>
      <c r="B138" s="6">
        <v>3855</v>
      </c>
      <c r="C138" s="6">
        <v>5329</v>
      </c>
      <c r="D138" s="6">
        <v>1677</v>
      </c>
      <c r="E138" s="6">
        <v>2670</v>
      </c>
      <c r="F138" s="6">
        <v>1070</v>
      </c>
      <c r="G138" s="6">
        <v>1793</v>
      </c>
      <c r="H138" s="6">
        <v>9184</v>
      </c>
      <c r="I138" s="6">
        <v>4347</v>
      </c>
      <c r="J138" s="6">
        <v>2863</v>
      </c>
    </row>
    <row r="139" spans="1:10" x14ac:dyDescent="0.2">
      <c r="A139" s="2" t="s">
        <v>135</v>
      </c>
      <c r="B139" s="6">
        <v>3</v>
      </c>
      <c r="C139" s="6">
        <v>1458</v>
      </c>
      <c r="D139" s="6">
        <v>3</v>
      </c>
      <c r="E139" s="6">
        <v>1458</v>
      </c>
      <c r="F139" s="6">
        <v>2</v>
      </c>
      <c r="G139" s="6">
        <v>956</v>
      </c>
      <c r="H139" s="6">
        <v>1461</v>
      </c>
      <c r="I139" s="6">
        <v>1461</v>
      </c>
      <c r="J139" s="6">
        <v>958</v>
      </c>
    </row>
    <row r="140" spans="1:10" x14ac:dyDescent="0.2">
      <c r="A140" s="2" t="s">
        <v>60</v>
      </c>
      <c r="B140" s="6"/>
      <c r="C140" s="6">
        <v>41</v>
      </c>
      <c r="D140" s="6"/>
      <c r="E140" s="6">
        <v>38</v>
      </c>
      <c r="F140" s="6"/>
      <c r="G140" s="6">
        <v>4</v>
      </c>
      <c r="H140" s="6">
        <v>41</v>
      </c>
      <c r="I140" s="6">
        <v>38</v>
      </c>
      <c r="J140" s="6">
        <v>4</v>
      </c>
    </row>
    <row r="141" spans="1:10" x14ac:dyDescent="0.2">
      <c r="A141" s="2" t="s">
        <v>114</v>
      </c>
      <c r="B141" s="6">
        <v>173</v>
      </c>
      <c r="C141" s="6">
        <v>3204</v>
      </c>
      <c r="D141" s="6">
        <v>173</v>
      </c>
      <c r="E141" s="6">
        <v>3204</v>
      </c>
      <c r="F141" s="6">
        <v>95</v>
      </c>
      <c r="G141" s="6">
        <v>2252</v>
      </c>
      <c r="H141" s="6">
        <v>3377</v>
      </c>
      <c r="I141" s="6">
        <v>3377</v>
      </c>
      <c r="J141" s="6">
        <v>2347</v>
      </c>
    </row>
    <row r="142" spans="1:10" x14ac:dyDescent="0.2">
      <c r="A142" s="2" t="s">
        <v>171</v>
      </c>
      <c r="B142" s="6"/>
      <c r="C142" s="6">
        <v>35</v>
      </c>
      <c r="D142" s="6"/>
      <c r="E142" s="6">
        <v>31</v>
      </c>
      <c r="F142" s="6"/>
      <c r="G142" s="6">
        <v>7</v>
      </c>
      <c r="H142" s="6">
        <v>35</v>
      </c>
      <c r="I142" s="6">
        <v>31</v>
      </c>
      <c r="J142" s="6">
        <v>7</v>
      </c>
    </row>
    <row r="143" spans="1:10" x14ac:dyDescent="0.2">
      <c r="A143" s="2" t="s">
        <v>78</v>
      </c>
      <c r="B143" s="6">
        <v>11782</v>
      </c>
      <c r="C143" s="6">
        <v>4152</v>
      </c>
      <c r="D143" s="6">
        <v>11782</v>
      </c>
      <c r="E143" s="6">
        <v>4152</v>
      </c>
      <c r="F143" s="6">
        <v>6219</v>
      </c>
      <c r="G143" s="6">
        <v>2263</v>
      </c>
      <c r="H143" s="6">
        <v>15934</v>
      </c>
      <c r="I143" s="6">
        <v>15934</v>
      </c>
      <c r="J143" s="6">
        <v>8482</v>
      </c>
    </row>
    <row r="144" spans="1:10" x14ac:dyDescent="0.2">
      <c r="A144" s="2" t="s">
        <v>83</v>
      </c>
      <c r="B144" s="6">
        <v>3906</v>
      </c>
      <c r="C144" s="6">
        <v>6343</v>
      </c>
      <c r="D144" s="6">
        <v>3906</v>
      </c>
      <c r="E144" s="6">
        <v>6343</v>
      </c>
      <c r="F144" s="6">
        <v>2243</v>
      </c>
      <c r="G144" s="6">
        <v>3611</v>
      </c>
      <c r="H144" s="6">
        <v>10249</v>
      </c>
      <c r="I144" s="6">
        <v>10249</v>
      </c>
      <c r="J144" s="6">
        <v>5854</v>
      </c>
    </row>
    <row r="145" spans="1:10" x14ac:dyDescent="0.2">
      <c r="A145" s="2" t="s">
        <v>104</v>
      </c>
      <c r="B145" s="6">
        <v>7418</v>
      </c>
      <c r="C145" s="6">
        <v>14537</v>
      </c>
      <c r="D145" s="6">
        <v>6360</v>
      </c>
      <c r="E145" s="6">
        <v>13489</v>
      </c>
      <c r="F145" s="6">
        <v>3488</v>
      </c>
      <c r="G145" s="6">
        <v>7290</v>
      </c>
      <c r="H145" s="6">
        <v>21955</v>
      </c>
      <c r="I145" s="6">
        <v>19849</v>
      </c>
      <c r="J145" s="6">
        <v>10778</v>
      </c>
    </row>
    <row r="146" spans="1:10" x14ac:dyDescent="0.2">
      <c r="A146" s="2" t="s">
        <v>42</v>
      </c>
      <c r="B146" s="6"/>
      <c r="C146" s="6">
        <v>32</v>
      </c>
      <c r="D146" s="6"/>
      <c r="E146" s="6">
        <v>32</v>
      </c>
      <c r="F146" s="6"/>
      <c r="G146" s="6">
        <v>1</v>
      </c>
      <c r="H146" s="6">
        <v>32</v>
      </c>
      <c r="I146" s="6">
        <v>32</v>
      </c>
      <c r="J146" s="6">
        <v>1</v>
      </c>
    </row>
    <row r="147" spans="1:10" x14ac:dyDescent="0.2">
      <c r="A147" s="2" t="s">
        <v>125</v>
      </c>
      <c r="B147" s="6"/>
      <c r="C147" s="6">
        <v>3532</v>
      </c>
      <c r="D147" s="6"/>
      <c r="E147" s="6">
        <v>3532</v>
      </c>
      <c r="F147" s="6"/>
      <c r="G147" s="6">
        <v>2646</v>
      </c>
      <c r="H147" s="6">
        <v>3532</v>
      </c>
      <c r="I147" s="6">
        <v>3532</v>
      </c>
      <c r="J147" s="6">
        <v>2646</v>
      </c>
    </row>
    <row r="148" spans="1:10" x14ac:dyDescent="0.2">
      <c r="A148" s="2" t="s">
        <v>81</v>
      </c>
      <c r="B148" s="6">
        <v>7170</v>
      </c>
      <c r="C148" s="6">
        <v>7441</v>
      </c>
      <c r="D148" s="6">
        <v>23</v>
      </c>
      <c r="E148" s="6">
        <v>19</v>
      </c>
      <c r="F148" s="6">
        <v>14</v>
      </c>
      <c r="G148" s="6">
        <v>12</v>
      </c>
      <c r="H148" s="6">
        <v>14611</v>
      </c>
      <c r="I148" s="6">
        <v>42</v>
      </c>
      <c r="J148" s="6">
        <v>26</v>
      </c>
    </row>
    <row r="149" spans="1:10" x14ac:dyDescent="0.2">
      <c r="A149" s="2" t="s">
        <v>14</v>
      </c>
      <c r="B149" s="6">
        <v>1570</v>
      </c>
      <c r="C149" s="6">
        <v>3663</v>
      </c>
      <c r="D149" s="6">
        <v>1570</v>
      </c>
      <c r="E149" s="6">
        <v>3663</v>
      </c>
      <c r="F149" s="6">
        <v>1247</v>
      </c>
      <c r="G149" s="6">
        <v>2847</v>
      </c>
      <c r="H149" s="6">
        <v>5233</v>
      </c>
      <c r="I149" s="6">
        <v>5233</v>
      </c>
      <c r="J149" s="6">
        <v>4094</v>
      </c>
    </row>
    <row r="150" spans="1:10" x14ac:dyDescent="0.2">
      <c r="A150" s="2" t="s">
        <v>107</v>
      </c>
      <c r="B150" s="6">
        <v>705</v>
      </c>
      <c r="C150" s="6">
        <v>316</v>
      </c>
      <c r="D150" s="6">
        <v>705</v>
      </c>
      <c r="E150" s="6">
        <v>316</v>
      </c>
      <c r="F150" s="6">
        <v>305</v>
      </c>
      <c r="G150" s="6">
        <v>155</v>
      </c>
      <c r="H150" s="6">
        <v>1021</v>
      </c>
      <c r="I150" s="6">
        <v>1021</v>
      </c>
      <c r="J150" s="6">
        <v>460</v>
      </c>
    </row>
    <row r="151" spans="1:10" x14ac:dyDescent="0.2">
      <c r="A151" s="2" t="s">
        <v>146</v>
      </c>
      <c r="B151" s="6">
        <v>318</v>
      </c>
      <c r="C151" s="6">
        <v>3332</v>
      </c>
      <c r="D151" s="6">
        <v>238</v>
      </c>
      <c r="E151" s="6">
        <v>2274</v>
      </c>
      <c r="F151" s="6">
        <v>124</v>
      </c>
      <c r="G151" s="6">
        <v>1227</v>
      </c>
      <c r="H151" s="6">
        <v>3650</v>
      </c>
      <c r="I151" s="6">
        <v>2512</v>
      </c>
      <c r="J151" s="6">
        <v>1351</v>
      </c>
    </row>
    <row r="152" spans="1:10" x14ac:dyDescent="0.2">
      <c r="A152" s="2" t="s">
        <v>136</v>
      </c>
      <c r="B152" s="6">
        <v>1724</v>
      </c>
      <c r="C152" s="6">
        <v>1516</v>
      </c>
      <c r="D152" s="6">
        <v>1174</v>
      </c>
      <c r="E152" s="6">
        <v>1062</v>
      </c>
      <c r="F152" s="6">
        <v>392</v>
      </c>
      <c r="G152" s="6">
        <v>388</v>
      </c>
      <c r="H152" s="6">
        <v>3240</v>
      </c>
      <c r="I152" s="6">
        <v>2236</v>
      </c>
      <c r="J152" s="6">
        <v>780</v>
      </c>
    </row>
    <row r="153" spans="1:10" x14ac:dyDescent="0.2">
      <c r="A153" s="2" t="s">
        <v>48</v>
      </c>
      <c r="B153" s="6">
        <v>184</v>
      </c>
      <c r="C153" s="6">
        <v>20706</v>
      </c>
      <c r="D153" s="6">
        <v>184</v>
      </c>
      <c r="E153" s="6">
        <v>20706</v>
      </c>
      <c r="F153" s="6">
        <v>135</v>
      </c>
      <c r="G153" s="6">
        <v>13781</v>
      </c>
      <c r="H153" s="6">
        <v>20890</v>
      </c>
      <c r="I153" s="6">
        <v>20890</v>
      </c>
      <c r="J153" s="6">
        <v>13916</v>
      </c>
    </row>
    <row r="154" spans="1:10" x14ac:dyDescent="0.2">
      <c r="A154" s="2" t="s">
        <v>24</v>
      </c>
      <c r="B154" s="6">
        <v>217</v>
      </c>
      <c r="C154" s="6">
        <v>3694</v>
      </c>
      <c r="D154" s="6">
        <v>150</v>
      </c>
      <c r="E154" s="6">
        <v>2362</v>
      </c>
      <c r="F154" s="6">
        <v>15</v>
      </c>
      <c r="G154" s="6">
        <v>237</v>
      </c>
      <c r="H154" s="6">
        <v>3911</v>
      </c>
      <c r="I154" s="6">
        <v>2512</v>
      </c>
      <c r="J154" s="6">
        <v>252</v>
      </c>
    </row>
    <row r="155" spans="1:10" x14ac:dyDescent="0.2">
      <c r="A155" s="2" t="s">
        <v>115</v>
      </c>
      <c r="B155" s="6">
        <v>102</v>
      </c>
      <c r="C155" s="6">
        <v>1233</v>
      </c>
      <c r="D155" s="6">
        <v>102</v>
      </c>
      <c r="E155" s="6">
        <v>1233</v>
      </c>
      <c r="F155" s="6">
        <v>80</v>
      </c>
      <c r="G155" s="6">
        <v>904</v>
      </c>
      <c r="H155" s="6">
        <v>1335</v>
      </c>
      <c r="I155" s="6">
        <v>1335</v>
      </c>
      <c r="J155" s="6">
        <v>984</v>
      </c>
    </row>
    <row r="156" spans="1:10" x14ac:dyDescent="0.2">
      <c r="A156" s="2" t="s">
        <v>93</v>
      </c>
      <c r="B156" s="6">
        <v>76351</v>
      </c>
      <c r="C156" s="6">
        <v>47703</v>
      </c>
      <c r="D156" s="6">
        <v>76351</v>
      </c>
      <c r="E156" s="6">
        <v>47703</v>
      </c>
      <c r="F156" s="6">
        <v>59727</v>
      </c>
      <c r="G156" s="6">
        <v>37730</v>
      </c>
      <c r="H156" s="6">
        <v>124054</v>
      </c>
      <c r="I156" s="6">
        <v>124054</v>
      </c>
      <c r="J156" s="6">
        <v>97457</v>
      </c>
    </row>
    <row r="157" spans="1:10" x14ac:dyDescent="0.2">
      <c r="A157" s="2" t="s">
        <v>163</v>
      </c>
      <c r="B157" s="6">
        <v>127</v>
      </c>
      <c r="C157" s="6">
        <v>1561</v>
      </c>
      <c r="D157" s="6">
        <v>93</v>
      </c>
      <c r="E157" s="6">
        <v>1120</v>
      </c>
      <c r="F157" s="6">
        <v>32</v>
      </c>
      <c r="G157" s="6">
        <v>431</v>
      </c>
      <c r="H157" s="6">
        <v>1688</v>
      </c>
      <c r="I157" s="6">
        <v>1213</v>
      </c>
      <c r="J157" s="6">
        <v>463</v>
      </c>
    </row>
    <row r="158" spans="1:10" x14ac:dyDescent="0.2">
      <c r="A158" s="2" t="s">
        <v>30</v>
      </c>
      <c r="B158" s="6"/>
      <c r="C158" s="6">
        <v>997</v>
      </c>
      <c r="D158" s="6"/>
      <c r="E158" s="6">
        <v>997</v>
      </c>
      <c r="F158" s="6"/>
      <c r="G158" s="6">
        <v>658</v>
      </c>
      <c r="H158" s="6">
        <v>997</v>
      </c>
      <c r="I158" s="6">
        <v>997</v>
      </c>
      <c r="J158" s="6">
        <v>658</v>
      </c>
    </row>
    <row r="159" spans="1:10" x14ac:dyDescent="0.2">
      <c r="A159" s="2" t="s">
        <v>67</v>
      </c>
      <c r="B159" s="6"/>
      <c r="C159" s="6">
        <v>43</v>
      </c>
      <c r="D159" s="6"/>
      <c r="E159" s="6">
        <v>38</v>
      </c>
      <c r="F159" s="6"/>
      <c r="G159" s="6">
        <v>4</v>
      </c>
      <c r="H159" s="6">
        <v>43</v>
      </c>
      <c r="I159" s="6">
        <v>38</v>
      </c>
      <c r="J159" s="6">
        <v>4</v>
      </c>
    </row>
    <row r="160" spans="1:10" x14ac:dyDescent="0.2">
      <c r="A160" s="2" t="s">
        <v>22</v>
      </c>
      <c r="B160" s="6">
        <v>76557</v>
      </c>
      <c r="C160" s="6">
        <v>63185</v>
      </c>
      <c r="D160" s="6">
        <v>76557</v>
      </c>
      <c r="E160" s="6">
        <v>63185</v>
      </c>
      <c r="F160" s="6">
        <v>58153</v>
      </c>
      <c r="G160" s="6">
        <v>49322</v>
      </c>
      <c r="H160" s="6">
        <v>139742</v>
      </c>
      <c r="I160" s="6">
        <v>139742</v>
      </c>
      <c r="J160" s="6">
        <v>107475</v>
      </c>
    </row>
    <row r="161" spans="1:10" x14ac:dyDescent="0.2">
      <c r="A161" s="2" t="s">
        <v>15</v>
      </c>
      <c r="B161" s="6">
        <v>4</v>
      </c>
      <c r="C161" s="6">
        <v>2802</v>
      </c>
      <c r="D161" s="6">
        <v>4</v>
      </c>
      <c r="E161" s="6">
        <v>2802</v>
      </c>
      <c r="F161" s="6">
        <v>4</v>
      </c>
      <c r="G161" s="6">
        <v>2038</v>
      </c>
      <c r="H161" s="6">
        <v>2806</v>
      </c>
      <c r="I161" s="6">
        <v>2806</v>
      </c>
      <c r="J161" s="6">
        <v>2042</v>
      </c>
    </row>
    <row r="162" spans="1:10" x14ac:dyDescent="0.2">
      <c r="A162" s="2" t="s">
        <v>55</v>
      </c>
      <c r="B162" s="6">
        <v>3</v>
      </c>
      <c r="C162" s="6">
        <v>21363</v>
      </c>
      <c r="D162" s="6">
        <v>3</v>
      </c>
      <c r="E162" s="6">
        <v>21361</v>
      </c>
      <c r="F162" s="6">
        <v>3</v>
      </c>
      <c r="G162" s="6">
        <v>15343</v>
      </c>
      <c r="H162" s="6">
        <v>21366</v>
      </c>
      <c r="I162" s="6">
        <v>21364</v>
      </c>
      <c r="J162" s="6">
        <v>15346</v>
      </c>
    </row>
    <row r="163" spans="1:10" x14ac:dyDescent="0.2">
      <c r="A163" s="2" t="s">
        <v>150</v>
      </c>
      <c r="B163" s="6">
        <v>15</v>
      </c>
      <c r="C163" s="6">
        <v>793</v>
      </c>
      <c r="D163" s="6">
        <v>11</v>
      </c>
      <c r="E163" s="6">
        <v>540</v>
      </c>
      <c r="F163" s="6">
        <v>5</v>
      </c>
      <c r="G163" s="6">
        <v>228</v>
      </c>
      <c r="H163" s="6">
        <v>808</v>
      </c>
      <c r="I163" s="6">
        <v>551</v>
      </c>
      <c r="J163" s="6">
        <v>233</v>
      </c>
    </row>
    <row r="164" spans="1:10" x14ac:dyDescent="0.2">
      <c r="A164" s="2" t="s">
        <v>90</v>
      </c>
      <c r="B164" s="6">
        <v>5173</v>
      </c>
      <c r="C164" s="6">
        <v>3550</v>
      </c>
      <c r="D164" s="6">
        <v>3696</v>
      </c>
      <c r="E164" s="6">
        <v>1982</v>
      </c>
      <c r="F164" s="6">
        <v>1700</v>
      </c>
      <c r="G164" s="6">
        <v>865</v>
      </c>
      <c r="H164" s="6">
        <v>8723</v>
      </c>
      <c r="I164" s="6">
        <v>5678</v>
      </c>
      <c r="J164" s="6">
        <v>2565</v>
      </c>
    </row>
    <row r="165" spans="1:10" x14ac:dyDescent="0.2">
      <c r="A165" s="2" t="s">
        <v>131</v>
      </c>
      <c r="B165" s="6">
        <v>2406</v>
      </c>
      <c r="C165" s="6">
        <v>2496</v>
      </c>
      <c r="D165" s="6">
        <v>881</v>
      </c>
      <c r="E165" s="6">
        <v>983</v>
      </c>
      <c r="F165" s="6">
        <v>516</v>
      </c>
      <c r="G165" s="6">
        <v>576</v>
      </c>
      <c r="H165" s="6">
        <v>4902</v>
      </c>
      <c r="I165" s="6">
        <v>1864</v>
      </c>
      <c r="J165" s="6">
        <v>1092</v>
      </c>
    </row>
    <row r="166" spans="1:10" x14ac:dyDescent="0.2">
      <c r="A166" s="2" t="s">
        <v>10</v>
      </c>
      <c r="B166" s="6"/>
      <c r="C166" s="6">
        <v>36</v>
      </c>
      <c r="D166" s="6"/>
      <c r="E166" s="6">
        <v>36</v>
      </c>
      <c r="F166" s="6"/>
      <c r="G166" s="6">
        <v>2</v>
      </c>
      <c r="H166" s="6">
        <v>36</v>
      </c>
      <c r="I166" s="6">
        <v>36</v>
      </c>
      <c r="J166" s="6">
        <v>2</v>
      </c>
    </row>
    <row r="167" spans="1:10" x14ac:dyDescent="0.2">
      <c r="A167" s="2" t="s">
        <v>161</v>
      </c>
      <c r="B167" s="6">
        <v>834</v>
      </c>
      <c r="C167" s="6">
        <v>876</v>
      </c>
      <c r="D167" s="6">
        <v>0</v>
      </c>
      <c r="E167" s="6">
        <v>0</v>
      </c>
      <c r="F167" s="6">
        <v>0</v>
      </c>
      <c r="G167" s="6">
        <v>0</v>
      </c>
      <c r="H167" s="6">
        <v>1710</v>
      </c>
      <c r="I167" s="6">
        <v>0</v>
      </c>
      <c r="J167" s="6">
        <v>0</v>
      </c>
    </row>
    <row r="168" spans="1:10" x14ac:dyDescent="0.2">
      <c r="A168" s="2" t="s">
        <v>111</v>
      </c>
      <c r="B168" s="6">
        <v>2</v>
      </c>
      <c r="C168" s="6">
        <v>10675</v>
      </c>
      <c r="D168" s="6">
        <v>2</v>
      </c>
      <c r="E168" s="6">
        <v>10675</v>
      </c>
      <c r="F168" s="6">
        <v>0</v>
      </c>
      <c r="G168" s="6">
        <v>7066</v>
      </c>
      <c r="H168" s="6">
        <v>10677</v>
      </c>
      <c r="I168" s="6">
        <v>10677</v>
      </c>
      <c r="J168" s="6">
        <v>7066</v>
      </c>
    </row>
    <row r="169" spans="1:10" x14ac:dyDescent="0.2">
      <c r="A169" s="2" t="s">
        <v>98</v>
      </c>
      <c r="B169" s="6">
        <v>312</v>
      </c>
      <c r="C169" s="6">
        <v>2242</v>
      </c>
      <c r="D169" s="6">
        <v>221</v>
      </c>
      <c r="E169" s="6">
        <v>1517</v>
      </c>
      <c r="F169" s="6">
        <v>122</v>
      </c>
      <c r="G169" s="6">
        <v>696</v>
      </c>
      <c r="H169" s="6">
        <v>2554</v>
      </c>
      <c r="I169" s="6">
        <v>1738</v>
      </c>
      <c r="J169" s="6">
        <v>818</v>
      </c>
    </row>
    <row r="170" spans="1:10" x14ac:dyDescent="0.2">
      <c r="A170" s="2" t="s">
        <v>46</v>
      </c>
      <c r="B170" s="6">
        <v>8</v>
      </c>
      <c r="C170" s="6">
        <v>2203</v>
      </c>
      <c r="D170" s="6">
        <v>8</v>
      </c>
      <c r="E170" s="6">
        <v>2203</v>
      </c>
      <c r="F170" s="6">
        <v>5</v>
      </c>
      <c r="G170" s="6">
        <v>1818</v>
      </c>
      <c r="H170" s="6">
        <v>2211</v>
      </c>
      <c r="I170" s="6">
        <v>2211</v>
      </c>
      <c r="J170" s="6">
        <v>1823</v>
      </c>
    </row>
    <row r="171" spans="1:10" x14ac:dyDescent="0.2">
      <c r="A171" s="2" t="s">
        <v>110</v>
      </c>
      <c r="B171" s="6">
        <v>312</v>
      </c>
      <c r="C171" s="6">
        <v>118</v>
      </c>
      <c r="D171" s="6">
        <v>253</v>
      </c>
      <c r="E171" s="6">
        <v>88</v>
      </c>
      <c r="F171" s="6">
        <v>135</v>
      </c>
      <c r="G171" s="6">
        <v>48</v>
      </c>
      <c r="H171" s="6">
        <v>430</v>
      </c>
      <c r="I171" s="6">
        <v>341</v>
      </c>
      <c r="J171" s="6">
        <v>183</v>
      </c>
    </row>
    <row r="172" spans="1:10" x14ac:dyDescent="0.2">
      <c r="A172" s="2" t="s">
        <v>165</v>
      </c>
      <c r="B172" s="6">
        <v>4476</v>
      </c>
      <c r="C172" s="6">
        <v>4480</v>
      </c>
      <c r="D172" s="6">
        <v>0</v>
      </c>
      <c r="E172" s="6">
        <v>0</v>
      </c>
      <c r="F172" s="6">
        <v>0</v>
      </c>
      <c r="G172" s="6">
        <v>0</v>
      </c>
      <c r="H172" s="6">
        <v>8956</v>
      </c>
      <c r="I172" s="6">
        <v>0</v>
      </c>
      <c r="J172" s="6">
        <v>0</v>
      </c>
    </row>
    <row r="173" spans="1:10" x14ac:dyDescent="0.2">
      <c r="A173" s="2" t="s">
        <v>177</v>
      </c>
      <c r="B173" s="6">
        <v>249915</v>
      </c>
      <c r="C173" s="6">
        <v>259677</v>
      </c>
      <c r="D173" s="6">
        <v>0</v>
      </c>
      <c r="E173" s="6">
        <v>0</v>
      </c>
      <c r="F173" s="6">
        <v>0</v>
      </c>
      <c r="G173" s="6">
        <v>0</v>
      </c>
      <c r="H173" s="6">
        <v>509592</v>
      </c>
      <c r="I173" s="6">
        <v>0</v>
      </c>
      <c r="J173" s="6">
        <v>0</v>
      </c>
    </row>
    <row r="174" spans="1:10" x14ac:dyDescent="0.2">
      <c r="A174" s="2" t="s">
        <v>176</v>
      </c>
      <c r="B174" s="6">
        <v>1332437</v>
      </c>
      <c r="C174" s="6">
        <v>1640967</v>
      </c>
      <c r="D174" s="6">
        <v>559699</v>
      </c>
      <c r="E174" s="6">
        <v>784120</v>
      </c>
      <c r="F174" s="6">
        <v>364243</v>
      </c>
      <c r="G174" s="6">
        <v>518082</v>
      </c>
      <c r="H174" s="6">
        <v>2973404</v>
      </c>
      <c r="I174" s="6">
        <v>1343819</v>
      </c>
      <c r="J174" s="6">
        <v>882325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2F5952-EEDD-C74A-8923-2B9E37F82719}">
  <sheetPr filterMode="1"/>
  <dimension ref="A1:P173"/>
  <sheetViews>
    <sheetView tabSelected="1" topLeftCell="A2" zoomScale="150" zoomScaleNormal="150" workbookViewId="0">
      <selection activeCell="I99" sqref="I99"/>
    </sheetView>
  </sheetViews>
  <sheetFormatPr baseColWidth="10" defaultRowHeight="16" x14ac:dyDescent="0.2"/>
  <cols>
    <col min="1" max="1" width="57.1640625" style="20" bestFit="1" customWidth="1"/>
    <col min="2" max="2" width="11.5" style="20" bestFit="1" customWidth="1"/>
    <col min="3" max="3" width="11.6640625" style="20" bestFit="1" customWidth="1"/>
    <col min="4" max="4" width="20.1640625" style="20" customWidth="1"/>
    <col min="5" max="5" width="10.33203125" style="20" customWidth="1"/>
    <col min="6" max="6" width="11.5" style="20" bestFit="1" customWidth="1"/>
    <col min="7" max="7" width="11" style="20" customWidth="1"/>
    <col min="8" max="8" width="22.33203125" style="20" bestFit="1" customWidth="1"/>
    <col min="9" max="9" width="10.33203125" style="20" customWidth="1"/>
    <col min="10" max="10" width="9.33203125" style="20" customWidth="1"/>
    <col min="11" max="12" width="12.5" style="20" customWidth="1"/>
    <col min="13" max="13" width="10.33203125" style="20" customWidth="1"/>
    <col min="14" max="14" width="10.83203125" style="20"/>
    <col min="15" max="15" width="13.83203125" bestFit="1" customWidth="1"/>
  </cols>
  <sheetData>
    <row r="1" spans="1:16" x14ac:dyDescent="0.2">
      <c r="A1"/>
      <c r="B1" s="8" t="s">
        <v>180</v>
      </c>
      <c r="C1" s="8"/>
      <c r="D1" s="8"/>
      <c r="E1" s="8"/>
      <c r="F1" s="11" t="s">
        <v>187</v>
      </c>
      <c r="G1" s="11"/>
      <c r="H1" s="11"/>
      <c r="I1" s="11"/>
      <c r="J1" s="14" t="s">
        <v>188</v>
      </c>
      <c r="K1" s="14"/>
      <c r="L1" s="14"/>
      <c r="M1" s="14"/>
      <c r="N1"/>
    </row>
    <row r="2" spans="1:16" x14ac:dyDescent="0.2">
      <c r="A2" t="s">
        <v>189</v>
      </c>
      <c r="B2" s="9" t="s">
        <v>7</v>
      </c>
      <c r="C2" s="9" t="s">
        <v>9</v>
      </c>
      <c r="D2" s="9" t="s">
        <v>190</v>
      </c>
      <c r="E2" s="9" t="s">
        <v>181</v>
      </c>
      <c r="F2" s="12" t="s">
        <v>7</v>
      </c>
      <c r="G2" s="12" t="s">
        <v>9</v>
      </c>
      <c r="H2" s="12" t="s">
        <v>190</v>
      </c>
      <c r="I2" s="12" t="s">
        <v>181</v>
      </c>
      <c r="J2" s="15" t="s">
        <v>7</v>
      </c>
      <c r="K2" s="15" t="s">
        <v>9</v>
      </c>
      <c r="L2" s="15" t="s">
        <v>190</v>
      </c>
      <c r="M2" s="15" t="s">
        <v>181</v>
      </c>
      <c r="N2"/>
      <c r="O2" s="15" t="s">
        <v>192</v>
      </c>
      <c r="P2">
        <f>COUNTIF(I3:I169,"&lt;&gt;")</f>
        <v>167</v>
      </c>
    </row>
    <row r="3" spans="1:16" x14ac:dyDescent="0.2">
      <c r="A3" t="s">
        <v>55</v>
      </c>
      <c r="B3" s="9">
        <v>3</v>
      </c>
      <c r="C3" s="9">
        <v>21363</v>
      </c>
      <c r="D3" s="10">
        <f>(B3+C3)/($B$173+$C$173)</f>
        <v>8.6719278906020429E-3</v>
      </c>
      <c r="E3" s="10">
        <f>IF(AND(B3&lt;&gt;0,C3&lt;&gt;0),(C3-B3)/B3,"")</f>
        <v>7120</v>
      </c>
      <c r="F3" s="12">
        <v>3</v>
      </c>
      <c r="G3" s="12">
        <v>21361</v>
      </c>
      <c r="H3" s="13">
        <f>(F3+G3)/($F$173+$G$173)</f>
        <v>1.5897974355177296E-2</v>
      </c>
      <c r="I3" s="13">
        <f>IF(AND(F3&lt;&gt;0,G3&lt;&gt;0),(G3-F3)/F3,"")</f>
        <v>7119.333333333333</v>
      </c>
      <c r="J3" s="15">
        <v>3</v>
      </c>
      <c r="K3" s="15">
        <v>15343</v>
      </c>
      <c r="L3" s="16">
        <f>(J3+K3)/($J$173+$K$173)</f>
        <v>1.7392684101663218E-2</v>
      </c>
      <c r="M3" s="16">
        <f>IF(AND(J3&lt;&gt;0,K3&lt;&gt;0),(K3-J3)/J3,"")</f>
        <v>5113.333333333333</v>
      </c>
      <c r="N3"/>
      <c r="O3" t="s">
        <v>191</v>
      </c>
      <c r="P3">
        <f>COUNTIF(I$3:I$169,"&gt;0")</f>
        <v>72</v>
      </c>
    </row>
    <row r="4" spans="1:16" x14ac:dyDescent="0.2">
      <c r="A4" t="s">
        <v>111</v>
      </c>
      <c r="B4" s="9">
        <v>2</v>
      </c>
      <c r="C4" s="9">
        <v>10675</v>
      </c>
      <c r="D4" s="10">
        <f>(B4+C4)/($B$173+$C$173)</f>
        <v>4.3335286945594877E-3</v>
      </c>
      <c r="E4" s="10">
        <f>IF(AND(B4&lt;&gt;0,C4&lt;&gt;0),(C4-B4)/B4,"")</f>
        <v>5336.5</v>
      </c>
      <c r="F4" s="12">
        <v>2</v>
      </c>
      <c r="G4" s="12">
        <v>10675</v>
      </c>
      <c r="H4" s="13">
        <f>(F4+G4)/($F$173+$G$173)</f>
        <v>7.9452664384117213E-3</v>
      </c>
      <c r="I4" s="13">
        <f>IF(AND(F4&lt;&gt;0,G4&lt;&gt;0),(G4-F4)/F4,"")</f>
        <v>5336.5</v>
      </c>
      <c r="J4" s="15">
        <v>0</v>
      </c>
      <c r="K4" s="15">
        <v>7066</v>
      </c>
      <c r="L4" s="16">
        <f>(J4+K4)/($J$173+$K$173)</f>
        <v>8.0083869322528541E-3</v>
      </c>
      <c r="M4" s="16" t="str">
        <f>IF(AND(J4&lt;&gt;0,K4&lt;&gt;0),(K4-J4)/J4,"")</f>
        <v/>
      </c>
      <c r="N4"/>
      <c r="O4" t="s">
        <v>193</v>
      </c>
      <c r="P4">
        <f>COUNTIF(I$3:I$169,"&lt;0")</f>
        <v>29</v>
      </c>
    </row>
    <row r="5" spans="1:16" x14ac:dyDescent="0.2">
      <c r="A5" t="s">
        <v>64</v>
      </c>
      <c r="B5" s="9">
        <v>3</v>
      </c>
      <c r="C5" s="9">
        <v>12081</v>
      </c>
      <c r="D5" s="10">
        <f>(B5+C5)/($B$173+$C$173)</f>
        <v>4.9045949934491753E-3</v>
      </c>
      <c r="E5" s="10">
        <f>IF(AND(B5&lt;&gt;0,C5&lt;&gt;0),(C5-B5)/B5,"")</f>
        <v>4026</v>
      </c>
      <c r="F5" s="12">
        <v>3</v>
      </c>
      <c r="G5" s="12">
        <v>12081</v>
      </c>
      <c r="H5" s="13">
        <f>(F5+G5)/($F$173+$G$173)</f>
        <v>8.9922824427992164E-3</v>
      </c>
      <c r="I5" s="13">
        <f>IF(AND(F5&lt;&gt;0,G5&lt;&gt;0),(G5-F5)/F5,"")</f>
        <v>4026</v>
      </c>
      <c r="J5" s="15">
        <v>1</v>
      </c>
      <c r="K5" s="15">
        <v>9101</v>
      </c>
      <c r="L5" s="16">
        <f>(J5+K5)/($J$173+$K$173)</f>
        <v>1.0315926671011248E-2</v>
      </c>
      <c r="M5" s="16">
        <f>IF(AND(J5&lt;&gt;0,K5&lt;&gt;0),(K5-J5)/J5,"")</f>
        <v>9100</v>
      </c>
      <c r="N5"/>
      <c r="O5" t="s">
        <v>194</v>
      </c>
      <c r="P5">
        <f>COUNTIF(I$3:I$169,"=0")</f>
        <v>2</v>
      </c>
    </row>
    <row r="6" spans="1:16" x14ac:dyDescent="0.2">
      <c r="A6" t="s">
        <v>141</v>
      </c>
      <c r="B6" s="9">
        <v>5</v>
      </c>
      <c r="C6" s="9">
        <v>12052</v>
      </c>
      <c r="D6" s="10">
        <f>(B6+C6)/($B$173+$C$173)</f>
        <v>4.8936363651122736E-3</v>
      </c>
      <c r="E6" s="10">
        <f>IF(AND(B6&lt;&gt;0,C6&lt;&gt;0),(C6-B6)/B6,"")</f>
        <v>2409.4</v>
      </c>
      <c r="F6" s="12">
        <v>4</v>
      </c>
      <c r="G6" s="12">
        <v>9025</v>
      </c>
      <c r="H6" s="13">
        <f>(F6+G6)/($F$173+$G$173)</f>
        <v>6.7189108056963029E-3</v>
      </c>
      <c r="I6" s="13">
        <f>IF(AND(F6&lt;&gt;0,G6&lt;&gt;0),(G6-F6)/F6,"")</f>
        <v>2255.25</v>
      </c>
      <c r="J6" s="15">
        <v>1</v>
      </c>
      <c r="K6" s="15">
        <v>4405</v>
      </c>
      <c r="L6" s="16">
        <f>(J6+K6)/($J$173+$K$173)</f>
        <v>4.9936247981186071E-3</v>
      </c>
      <c r="M6" s="16">
        <f>IF(AND(J6&lt;&gt;0,K6&lt;&gt;0),(K6-J6)/J6,"")</f>
        <v>4404</v>
      </c>
      <c r="N6"/>
    </row>
    <row r="7" spans="1:16" hidden="1" x14ac:dyDescent="0.2">
      <c r="A7" t="s">
        <v>70</v>
      </c>
      <c r="B7" s="9">
        <v>2</v>
      </c>
      <c r="C7" s="9">
        <v>3293</v>
      </c>
      <c r="D7" s="10">
        <f>(B7+C7)/($B$173+$C$173)</f>
        <v>1.3373585322256731E-3</v>
      </c>
      <c r="E7" s="10">
        <f>IF(AND(B7&lt;&gt;0,C7&lt;&gt;0),(C7-B7)/B7,"")</f>
        <v>1645.5</v>
      </c>
      <c r="F7" s="12">
        <v>2</v>
      </c>
      <c r="G7" s="12">
        <v>3293</v>
      </c>
      <c r="H7" s="13">
        <f>(F7+G7)/($F$173+$G$173)</f>
        <v>2.4519671175954501E-3</v>
      </c>
      <c r="I7" s="13">
        <f>IF(AND(F7&lt;&gt;0,G7&lt;&gt;0),(G7-F7)/F7,"")</f>
        <v>1645.5</v>
      </c>
      <c r="J7" s="15">
        <v>2</v>
      </c>
      <c r="K7" s="15">
        <v>2425</v>
      </c>
      <c r="L7" s="16">
        <f>(J7+K7)/($J$173+$K$173)</f>
        <v>2.7506871050916614E-3</v>
      </c>
      <c r="M7" s="16">
        <f>IF(AND(J7&lt;&gt;0,K7&lt;&gt;0),(K7-J7)/J7,"")</f>
        <v>1211.5</v>
      </c>
      <c r="N7"/>
    </row>
    <row r="8" spans="1:16" hidden="1" x14ac:dyDescent="0.2">
      <c r="A8" t="s">
        <v>27</v>
      </c>
      <c r="B8" s="9">
        <v>1</v>
      </c>
      <c r="C8" s="9">
        <v>1414</v>
      </c>
      <c r="D8" s="10">
        <f>(B8+C8)/($B$173+$C$173)</f>
        <v>5.743132998783998E-4</v>
      </c>
      <c r="E8" s="10">
        <f>IF(AND(B8&lt;&gt;0,C8&lt;&gt;0),(C8-B8)/B8,"")</f>
        <v>1413</v>
      </c>
      <c r="F8" s="12">
        <v>1</v>
      </c>
      <c r="G8" s="12">
        <v>1414</v>
      </c>
      <c r="H8" s="13">
        <f>(F8+G8)/($F$173+$G$173)</f>
        <v>1.0529691870705801E-3</v>
      </c>
      <c r="I8" s="13">
        <f>IF(AND(F8&lt;&gt;0,G8&lt;&gt;0),(G8-F8)/F8,"")</f>
        <v>1413</v>
      </c>
      <c r="J8" s="15">
        <v>0</v>
      </c>
      <c r="K8" s="15">
        <v>829</v>
      </c>
      <c r="L8" s="16">
        <f>(J8+K8)/($J$173+$K$173)</f>
        <v>9.395630861643952E-4</v>
      </c>
      <c r="M8" s="16" t="str">
        <f>IF(AND(J8&lt;&gt;0,K8&lt;&gt;0),(K8-J8)/J8,"")</f>
        <v/>
      </c>
      <c r="N8"/>
    </row>
    <row r="9" spans="1:16" x14ac:dyDescent="0.2">
      <c r="A9" t="s">
        <v>132</v>
      </c>
      <c r="B9" s="9">
        <v>6</v>
      </c>
      <c r="C9" s="9">
        <v>10299</v>
      </c>
      <c r="D9" s="10">
        <f>(B9+C9)/($B$173+$C$173)</f>
        <v>4.1825431485843891E-3</v>
      </c>
      <c r="E9" s="10">
        <f>IF(AND(B9&lt;&gt;0,C9&lt;&gt;0),(C9-B9)/B9,"")</f>
        <v>1715.5</v>
      </c>
      <c r="F9" s="12">
        <v>6</v>
      </c>
      <c r="G9" s="12">
        <v>7368</v>
      </c>
      <c r="H9" s="13">
        <f>(F9+G9)/($F$173+$G$173)</f>
        <v>5.487346138133186E-3</v>
      </c>
      <c r="I9" s="13">
        <f>IF(AND(F9&lt;&gt;0,G9&lt;&gt;0),(G9-F9)/F9,"")</f>
        <v>1227</v>
      </c>
      <c r="J9" s="15">
        <v>3</v>
      </c>
      <c r="K9" s="15">
        <v>4160</v>
      </c>
      <c r="L9" s="16">
        <f>(J9+K9)/($J$173+$K$173)</f>
        <v>4.7182160768424334E-3</v>
      </c>
      <c r="M9" s="16">
        <f>IF(AND(J9&lt;&gt;0,K9&lt;&gt;0),(K9-J9)/J9,"")</f>
        <v>1385.6666666666667</v>
      </c>
      <c r="N9"/>
    </row>
    <row r="10" spans="1:16" hidden="1" x14ac:dyDescent="0.2">
      <c r="A10" t="s">
        <v>122</v>
      </c>
      <c r="B10" s="9">
        <v>5</v>
      </c>
      <c r="C10" s="9">
        <v>6031</v>
      </c>
      <c r="D10" s="10">
        <f>(B10+C10)/($B$173+$C$173)</f>
        <v>2.4498622459830539E-3</v>
      </c>
      <c r="E10" s="10">
        <f>IF(AND(B10&lt;&gt;0,C10&lt;&gt;0),(C10-B10)/B10,"")</f>
        <v>1205.2</v>
      </c>
      <c r="F10" s="12">
        <v>5</v>
      </c>
      <c r="G10" s="12">
        <v>6031</v>
      </c>
      <c r="H10" s="13">
        <f>(F10+G10)/($F$173+$G$173)</f>
        <v>4.4916763343872948E-3</v>
      </c>
      <c r="I10" s="13">
        <f>IF(AND(F10&lt;&gt;0,G10&lt;&gt;0),(G10-F10)/F10,"")</f>
        <v>1205.2</v>
      </c>
      <c r="J10" s="15">
        <v>2</v>
      </c>
      <c r="K10" s="15">
        <v>4559</v>
      </c>
      <c r="L10" s="16">
        <f>(J10+K10)/($J$173+$K$173)</f>
        <v>5.1692970277392118E-3</v>
      </c>
      <c r="M10" s="16">
        <f>IF(AND(J10&lt;&gt;0,K10&lt;&gt;0),(K10-J10)/J10,"")</f>
        <v>2278.5</v>
      </c>
      <c r="N10"/>
    </row>
    <row r="11" spans="1:16" hidden="1" x14ac:dyDescent="0.2">
      <c r="A11" t="s">
        <v>15</v>
      </c>
      <c r="B11" s="9">
        <v>4</v>
      </c>
      <c r="C11" s="9">
        <v>2802</v>
      </c>
      <c r="D11" s="10">
        <f>(B11+C11)/($B$173+$C$173)</f>
        <v>1.1388855967906643E-3</v>
      </c>
      <c r="E11" s="10">
        <f>IF(AND(B11&lt;&gt;0,C11&lt;&gt;0),(C11-B11)/B11,"")</f>
        <v>699.5</v>
      </c>
      <c r="F11" s="12">
        <v>4</v>
      </c>
      <c r="G11" s="12">
        <v>2802</v>
      </c>
      <c r="H11" s="13">
        <f>(F11+G11)/($F$173+$G$173)</f>
        <v>2.0880788260919068E-3</v>
      </c>
      <c r="I11" s="13">
        <f>IF(AND(F11&lt;&gt;0,G11&lt;&gt;0),(G11-F11)/F11,"")</f>
        <v>699.5</v>
      </c>
      <c r="J11" s="15">
        <v>4</v>
      </c>
      <c r="K11" s="15">
        <v>2038</v>
      </c>
      <c r="L11" s="16">
        <f>(J11+K11)/($J$173+$K$173)</f>
        <v>2.3143399540985466E-3</v>
      </c>
      <c r="M11" s="16">
        <f>IF(AND(J11&lt;&gt;0,K11&lt;&gt;0),(K11-J11)/J11,"")</f>
        <v>508.5</v>
      </c>
      <c r="N11"/>
    </row>
    <row r="12" spans="1:16" hidden="1" x14ac:dyDescent="0.2">
      <c r="A12" t="s">
        <v>135</v>
      </c>
      <c r="B12" s="9">
        <v>3</v>
      </c>
      <c r="C12" s="9">
        <v>1458</v>
      </c>
      <c r="D12" s="10">
        <f>(B12+C12)/($B$173+$C$173)</f>
        <v>5.9298355556349272E-4</v>
      </c>
      <c r="E12" s="10">
        <f>IF(AND(B12&lt;&gt;0,C12&lt;&gt;0),(C12-B12)/B12,"")</f>
        <v>485</v>
      </c>
      <c r="F12" s="12">
        <v>3</v>
      </c>
      <c r="G12" s="12">
        <v>1458</v>
      </c>
      <c r="H12" s="13">
        <f>(F12+G12)/($F$173+$G$173)</f>
        <v>1.0871999874983165E-3</v>
      </c>
      <c r="I12" s="13">
        <f>IF(AND(F12&lt;&gt;0,G12&lt;&gt;0),(G12-F12)/F12,"")</f>
        <v>485</v>
      </c>
      <c r="J12" s="15">
        <v>2</v>
      </c>
      <c r="K12" s="15">
        <v>956</v>
      </c>
      <c r="L12" s="16">
        <f>(J12+K12)/($J$173+$K$173)</f>
        <v>1.0857677159776726E-3</v>
      </c>
      <c r="M12" s="16">
        <f>IF(AND(J12&lt;&gt;0,K12&lt;&gt;0),(K12-J12)/J12,"")</f>
        <v>477</v>
      </c>
      <c r="N12"/>
    </row>
    <row r="13" spans="1:16" hidden="1" x14ac:dyDescent="0.2">
      <c r="A13" t="s">
        <v>54</v>
      </c>
      <c r="B13" s="9">
        <v>9</v>
      </c>
      <c r="C13" s="9">
        <v>4554</v>
      </c>
      <c r="D13" s="10">
        <f>(B13+C13)/($B$173+$C$173)</f>
        <v>1.8520081889364934E-3</v>
      </c>
      <c r="E13" s="10">
        <f>IF(AND(B13&lt;&gt;0,C13&lt;&gt;0),(C13-B13)/B13,"")</f>
        <v>505</v>
      </c>
      <c r="F13" s="12">
        <v>9</v>
      </c>
      <c r="G13" s="12">
        <v>3545</v>
      </c>
      <c r="H13" s="13">
        <f>(F13+G13)/($F$173+$G$173)</f>
        <v>2.6447014069603124E-3</v>
      </c>
      <c r="I13" s="13">
        <f>IF(AND(F13&lt;&gt;0,G13&lt;&gt;0),(G13-F13)/F13,"")</f>
        <v>392.88888888888891</v>
      </c>
      <c r="J13" s="15">
        <v>5</v>
      </c>
      <c r="K13" s="15">
        <v>1625</v>
      </c>
      <c r="L13" s="16">
        <f>(J13+K13)/($J$173+$K$173)</f>
        <v>1.8473918340747458E-3</v>
      </c>
      <c r="M13" s="16">
        <f>IF(AND(J13&lt;&gt;0,K13&lt;&gt;0),(K13-J13)/J13,"")</f>
        <v>324</v>
      </c>
      <c r="N13"/>
    </row>
    <row r="14" spans="1:16" hidden="1" x14ac:dyDescent="0.2">
      <c r="A14" t="s">
        <v>35</v>
      </c>
      <c r="B14" s="9">
        <v>9</v>
      </c>
      <c r="C14" s="9">
        <v>2694</v>
      </c>
      <c r="D14" s="10">
        <f>(B14+C14)/($B$173+$C$173)</f>
        <v>1.0970804590609998E-3</v>
      </c>
      <c r="E14" s="10">
        <f>IF(AND(B14&lt;&gt;0,C14&lt;&gt;0),(C14-B14)/B14,"")</f>
        <v>298.33333333333331</v>
      </c>
      <c r="F14" s="12">
        <v>9</v>
      </c>
      <c r="G14" s="12">
        <v>2694</v>
      </c>
      <c r="H14" s="13">
        <f>(F14+G14)/($F$173+$G$173)</f>
        <v>2.0114315990471931E-3</v>
      </c>
      <c r="I14" s="13">
        <f>IF(AND(F14&lt;&gt;0,G14&lt;&gt;0),(G14-F14)/F14,"")</f>
        <v>298.33333333333331</v>
      </c>
      <c r="J14" s="15">
        <v>3</v>
      </c>
      <c r="K14" s="15">
        <v>1330</v>
      </c>
      <c r="L14" s="16">
        <f>(J14+K14)/($J$173+$K$173)</f>
        <v>1.5107811747372001E-3</v>
      </c>
      <c r="M14" s="16">
        <f>IF(AND(J14&lt;&gt;0,K14&lt;&gt;0),(K14-J14)/J14,"")</f>
        <v>442.33333333333331</v>
      </c>
      <c r="N14"/>
    </row>
    <row r="15" spans="1:16" hidden="1" x14ac:dyDescent="0.2">
      <c r="A15" t="s">
        <v>155</v>
      </c>
      <c r="B15" s="9">
        <v>6</v>
      </c>
      <c r="C15" s="9">
        <v>1786</v>
      </c>
      <c r="D15" s="10">
        <f>(B15+C15)/($B$173+$C$173)</f>
        <v>7.2732822147144347E-4</v>
      </c>
      <c r="E15" s="10">
        <f>IF(AND(B15&lt;&gt;0,C15&lt;&gt;0),(C15-B15)/B15,"")</f>
        <v>296.66666666666669</v>
      </c>
      <c r="F15" s="12">
        <v>6</v>
      </c>
      <c r="G15" s="12">
        <v>1786</v>
      </c>
      <c r="H15" s="13">
        <f>(F15+G15)/($F$173+$G$173)</f>
        <v>1.3335129210109396E-3</v>
      </c>
      <c r="I15" s="13">
        <f>IF(AND(F15&lt;&gt;0,G15&lt;&gt;0),(G15-F15)/F15,"")</f>
        <v>296.66666666666669</v>
      </c>
      <c r="J15" s="15">
        <v>5</v>
      </c>
      <c r="K15" s="15">
        <v>1122</v>
      </c>
      <c r="L15" s="16">
        <f>(J15+K15)/($J$173+$K$173)</f>
        <v>1.2773071147252997E-3</v>
      </c>
      <c r="M15" s="16">
        <f>IF(AND(J15&lt;&gt;0,K15&lt;&gt;0),(K15-J15)/J15,"")</f>
        <v>223.4</v>
      </c>
      <c r="N15"/>
    </row>
    <row r="16" spans="1:16" hidden="1" x14ac:dyDescent="0.2">
      <c r="A16" t="s">
        <v>46</v>
      </c>
      <c r="B16" s="9">
        <v>8</v>
      </c>
      <c r="C16" s="9">
        <v>2203</v>
      </c>
      <c r="D16" s="10">
        <f>(B16+C16)/($B$173+$C$173)</f>
        <v>8.9738989825522406E-4</v>
      </c>
      <c r="E16" s="10">
        <f>IF(AND(B16&lt;&gt;0,C16&lt;&gt;0),(C16-B16)/B16,"")</f>
        <v>274.375</v>
      </c>
      <c r="F16" s="12">
        <v>8</v>
      </c>
      <c r="G16" s="12">
        <v>2203</v>
      </c>
      <c r="H16" s="13">
        <f>(F16+G16)/($F$173+$G$173)</f>
        <v>1.6453108640374931E-3</v>
      </c>
      <c r="I16" s="13">
        <f>IF(AND(F16&lt;&gt;0,G16&lt;&gt;0),(G16-F16)/F16,"")</f>
        <v>274.375</v>
      </c>
      <c r="J16" s="15">
        <v>5</v>
      </c>
      <c r="K16" s="15">
        <v>1818</v>
      </c>
      <c r="L16" s="16">
        <f>(J16+K16)/($J$173+$K$173)</f>
        <v>2.0661320941829826E-3</v>
      </c>
      <c r="M16" s="16">
        <f>IF(AND(J16&lt;&gt;0,K16&lt;&gt;0),(K16-J16)/J16,"")</f>
        <v>362.6</v>
      </c>
      <c r="N16"/>
    </row>
    <row r="17" spans="1:14" hidden="1" x14ac:dyDescent="0.2">
      <c r="A17" t="s">
        <v>23</v>
      </c>
      <c r="B17" s="9">
        <v>25</v>
      </c>
      <c r="C17" s="9">
        <v>5702</v>
      </c>
      <c r="D17" s="10">
        <f>(B17+C17)/($B$173+$C$173)</f>
        <v>2.3244468327940607E-3</v>
      </c>
      <c r="E17" s="10">
        <f>IF(AND(B17&lt;&gt;0,C17&lt;&gt;0),(C17-B17)/B17,"")</f>
        <v>227.08</v>
      </c>
      <c r="F17" s="12">
        <v>25</v>
      </c>
      <c r="G17" s="12">
        <v>5702</v>
      </c>
      <c r="H17" s="13">
        <f>(F17+G17)/($F$173+$G$173)</f>
        <v>4.2617346532531535E-3</v>
      </c>
      <c r="I17" s="13">
        <f>IF(AND(F17&lt;&gt;0,G17&lt;&gt;0),(G17-F17)/F17,"")</f>
        <v>227.08</v>
      </c>
      <c r="J17" s="15">
        <v>16</v>
      </c>
      <c r="K17" s="15">
        <v>3480</v>
      </c>
      <c r="L17" s="16">
        <f>(J17+K17)/($J$173+$K$173)</f>
        <v>3.9622588048621541E-3</v>
      </c>
      <c r="M17" s="16">
        <f>IF(AND(J17&lt;&gt;0,K17&lt;&gt;0),(K17-J17)/J17,"")</f>
        <v>216.5</v>
      </c>
      <c r="N17"/>
    </row>
    <row r="18" spans="1:14" hidden="1" x14ac:dyDescent="0.2">
      <c r="A18" t="s">
        <v>147</v>
      </c>
      <c r="B18" s="9">
        <v>6</v>
      </c>
      <c r="C18" s="9">
        <v>1136</v>
      </c>
      <c r="D18" s="10">
        <f>(B18+C18)/($B$173+$C$173)</f>
        <v>4.6350939113860959E-4</v>
      </c>
      <c r="E18" s="10">
        <f>IF(AND(B18&lt;&gt;0,C18&lt;&gt;0),(C18-B18)/B18,"")</f>
        <v>188.33333333333334</v>
      </c>
      <c r="F18" s="12">
        <v>6</v>
      </c>
      <c r="G18" s="12">
        <v>972</v>
      </c>
      <c r="H18" s="13">
        <f>(F18+G18)/($F$173+$G$173)</f>
        <v>7.2777658300708647E-4</v>
      </c>
      <c r="I18" s="13">
        <f>IF(AND(F18&lt;&gt;0,G18&lt;&gt;0),(G18-F18)/F18,"")</f>
        <v>161</v>
      </c>
      <c r="J18" s="15">
        <v>1</v>
      </c>
      <c r="K18" s="15">
        <v>581</v>
      </c>
      <c r="L18" s="16">
        <f>(J18+K18)/($J$173+$K$173)</f>
        <v>6.5962088799478651E-4</v>
      </c>
      <c r="M18" s="16">
        <f>IF(AND(J18&lt;&gt;0,K18&lt;&gt;0),(K18-J18)/J18,"")</f>
        <v>580</v>
      </c>
      <c r="N18"/>
    </row>
    <row r="19" spans="1:14" x14ac:dyDescent="0.2">
      <c r="A19" t="s">
        <v>48</v>
      </c>
      <c r="B19" s="9">
        <v>184</v>
      </c>
      <c r="C19" s="9">
        <v>20706</v>
      </c>
      <c r="D19" s="10">
        <f>(B19+C19)/($B$173+$C$173)</f>
        <v>8.4787313317736899E-3</v>
      </c>
      <c r="E19" s="10">
        <f>IF(AND(B19&lt;&gt;0,C19&lt;&gt;0),(C19-B19)/B19,"")</f>
        <v>111.53260869565217</v>
      </c>
      <c r="F19" s="12">
        <v>184</v>
      </c>
      <c r="G19" s="12">
        <v>20706</v>
      </c>
      <c r="H19" s="13">
        <f>(F19+G19)/($F$173+$G$173)</f>
        <v>1.5545248281204536E-2</v>
      </c>
      <c r="I19" s="13">
        <f>IF(AND(F19&lt;&gt;0,G19&lt;&gt;0),(G19-F19)/F19,"")</f>
        <v>111.53260869565217</v>
      </c>
      <c r="J19" s="15">
        <v>135</v>
      </c>
      <c r="K19" s="15">
        <v>13781</v>
      </c>
      <c r="L19" s="16">
        <f>(J19+K19)/($J$173+$K$173)</f>
        <v>1.577196611226022E-2</v>
      </c>
      <c r="M19" s="16">
        <f>IF(AND(J19&lt;&gt;0,K19&lt;&gt;0),(K19-J19)/J19,"")</f>
        <v>101.08148148148148</v>
      </c>
      <c r="N19"/>
    </row>
    <row r="20" spans="1:14" hidden="1" x14ac:dyDescent="0.2">
      <c r="A20" t="s">
        <v>73</v>
      </c>
      <c r="B20" s="9">
        <v>16</v>
      </c>
      <c r="C20" s="9">
        <v>1793</v>
      </c>
      <c r="D20" s="10">
        <f>(B20+C20)/($B$173+$C$173)</f>
        <v>7.3422809857245604E-4</v>
      </c>
      <c r="E20" s="10">
        <f>IF(AND(B20&lt;&gt;0,C20&lt;&gt;0),(C20-B20)/B20,"")</f>
        <v>111.0625</v>
      </c>
      <c r="F20" s="12">
        <v>16</v>
      </c>
      <c r="G20" s="12">
        <v>1793</v>
      </c>
      <c r="H20" s="13">
        <f>(F20+G20)/($F$173+$G$173)</f>
        <v>1.3461634342124943E-3</v>
      </c>
      <c r="I20" s="13">
        <f>IF(AND(F20&lt;&gt;0,G20&lt;&gt;0),(G20-F20)/F20,"")</f>
        <v>111.0625</v>
      </c>
      <c r="J20" s="15">
        <v>5</v>
      </c>
      <c r="K20" s="15">
        <v>649</v>
      </c>
      <c r="L20" s="16">
        <f>(J20+K20)/($J$173+$K$173)</f>
        <v>7.4122347207661581E-4</v>
      </c>
      <c r="M20" s="16">
        <f>IF(AND(J20&lt;&gt;0,K20&lt;&gt;0),(K20-J20)/J20,"")</f>
        <v>128.80000000000001</v>
      </c>
      <c r="N20"/>
    </row>
    <row r="21" spans="1:14" hidden="1" x14ac:dyDescent="0.2">
      <c r="A21" t="s">
        <v>17</v>
      </c>
      <c r="B21" s="9">
        <v>930</v>
      </c>
      <c r="C21" s="9">
        <v>2884</v>
      </c>
      <c r="D21" s="10">
        <f>(B21+C21)/($B$173+$C$173)</f>
        <v>1.5480077213683512E-3</v>
      </c>
      <c r="E21" s="10">
        <f>IF(AND(B21&lt;&gt;0,C21&lt;&gt;0),(C21-B21)/B21,"")</f>
        <v>2.1010752688172043</v>
      </c>
      <c r="F21" s="12">
        <v>14</v>
      </c>
      <c r="G21" s="12">
        <v>1373</v>
      </c>
      <c r="H21" s="13">
        <f>(F21+G21)/($F$173+$G$173)</f>
        <v>1.0321330476797843E-3</v>
      </c>
      <c r="I21" s="13">
        <f>IF(AND(F21&lt;&gt;0,G21&lt;&gt;0),(G21-F21)/F21,"")</f>
        <v>97.071428571428569</v>
      </c>
      <c r="J21" s="15">
        <v>11</v>
      </c>
      <c r="K21" s="15">
        <v>563</v>
      </c>
      <c r="L21" s="16">
        <f>(J21+K21)/($J$173+$K$173)</f>
        <v>6.5055393420791654E-4</v>
      </c>
      <c r="M21" s="16">
        <f>IF(AND(J21&lt;&gt;0,K21&lt;&gt;0),(K21-J21)/J21,"")</f>
        <v>50.18181818181818</v>
      </c>
      <c r="N21"/>
    </row>
    <row r="22" spans="1:14" hidden="1" x14ac:dyDescent="0.2">
      <c r="A22" t="s">
        <v>149</v>
      </c>
      <c r="B22" s="9">
        <v>19</v>
      </c>
      <c r="C22" s="9">
        <v>1861</v>
      </c>
      <c r="D22" s="10">
        <f>(B22+C22)/($B$173+$C$173)</f>
        <v>7.6304523234727321E-4</v>
      </c>
      <c r="E22" s="10">
        <f>IF(AND(B22&lt;&gt;0,C22&lt;&gt;0),(C22-B22)/B22,"")</f>
        <v>96.94736842105263</v>
      </c>
      <c r="F22" s="12">
        <v>16</v>
      </c>
      <c r="G22" s="12">
        <v>1457</v>
      </c>
      <c r="H22" s="13">
        <f>(F22+G22)/($F$173+$G$173)</f>
        <v>1.0961297615229432E-3</v>
      </c>
      <c r="I22" s="13">
        <f>IF(AND(F22&lt;&gt;0,G22&lt;&gt;0),(G22-F22)/F22,"")</f>
        <v>90.0625</v>
      </c>
      <c r="J22" s="15">
        <v>0</v>
      </c>
      <c r="K22" s="15">
        <v>551</v>
      </c>
      <c r="L22" s="16">
        <f>(J22+K22)/($J$173+$K$173)</f>
        <v>6.2448644207066561E-4</v>
      </c>
      <c r="M22" s="16" t="str">
        <f>IF(AND(J22&lt;&gt;0,K22&lt;&gt;0),(K22-J22)/J22,"")</f>
        <v/>
      </c>
      <c r="N22"/>
    </row>
    <row r="23" spans="1:14" hidden="1" x14ac:dyDescent="0.2">
      <c r="A23" t="s">
        <v>150</v>
      </c>
      <c r="B23" s="9">
        <v>15</v>
      </c>
      <c r="C23" s="9">
        <v>793</v>
      </c>
      <c r="D23" s="10">
        <f>(B23+C23)/($B$173+$C$173)</f>
        <v>3.2794709985989193E-4</v>
      </c>
      <c r="E23" s="10">
        <f>IF(AND(B23&lt;&gt;0,C23&lt;&gt;0),(C23-B23)/B23,"")</f>
        <v>51.866666666666667</v>
      </c>
      <c r="F23" s="12">
        <v>11</v>
      </c>
      <c r="G23" s="12">
        <v>540</v>
      </c>
      <c r="H23" s="13">
        <f>(F23+G23)/($F$173+$G$173)</f>
        <v>4.1002545729744856E-4</v>
      </c>
      <c r="I23" s="13">
        <f>IF(AND(F23&lt;&gt;0,G23&lt;&gt;0),(G23-F23)/F23,"")</f>
        <v>48.090909090909093</v>
      </c>
      <c r="J23" s="15">
        <v>5</v>
      </c>
      <c r="K23" s="15">
        <v>228</v>
      </c>
      <c r="L23" s="16">
        <f>(J23+K23)/($J$173+$K$173)</f>
        <v>2.6407502904258632E-4</v>
      </c>
      <c r="M23" s="16">
        <f>IF(AND(J23&lt;&gt;0,K23&lt;&gt;0),(K23-J23)/J23,"")</f>
        <v>44.6</v>
      </c>
      <c r="N23"/>
    </row>
    <row r="24" spans="1:14" hidden="1" x14ac:dyDescent="0.2">
      <c r="A24" t="s">
        <v>32</v>
      </c>
      <c r="B24" s="9">
        <v>1</v>
      </c>
      <c r="C24" s="9">
        <v>43</v>
      </c>
      <c r="D24" s="10">
        <f>(B24+C24)/($B$173+$C$173)</f>
        <v>1.7858505437914904E-5</v>
      </c>
      <c r="E24" s="10">
        <f>IF(AND(B24&lt;&gt;0,C24&lt;&gt;0),(C24-B24)/B24,"")</f>
        <v>42</v>
      </c>
      <c r="F24" s="12">
        <v>1</v>
      </c>
      <c r="G24" s="12">
        <v>41</v>
      </c>
      <c r="H24" s="13">
        <f>(F24+G24)/($F$173+$G$173)</f>
        <v>3.1254209086193898E-5</v>
      </c>
      <c r="I24" s="13">
        <f>IF(AND(F24&lt;&gt;0,G24&lt;&gt;0),(G24-F24)/F24,"")</f>
        <v>40</v>
      </c>
      <c r="J24" s="15">
        <v>0</v>
      </c>
      <c r="K24" s="15">
        <v>7</v>
      </c>
      <c r="L24" s="16">
        <f>(J24+K24)/($J$173+$K$173)</f>
        <v>7.9335845635111782E-6</v>
      </c>
      <c r="M24" s="16" t="str">
        <f>IF(AND(J24&lt;&gt;0,K24&lt;&gt;0),(K24-J24)/J24,"")</f>
        <v/>
      </c>
      <c r="N24"/>
    </row>
    <row r="25" spans="1:14" hidden="1" x14ac:dyDescent="0.2">
      <c r="A25" t="s">
        <v>80</v>
      </c>
      <c r="B25" s="9">
        <v>29</v>
      </c>
      <c r="C25" s="9">
        <v>1026</v>
      </c>
      <c r="D25" s="10">
        <f>(B25+C25)/($B$173+$C$173)</f>
        <v>4.2819825538636876E-4</v>
      </c>
      <c r="E25" s="10">
        <f>IF(AND(B25&lt;&gt;0,C25&lt;&gt;0),(C25-B25)/B25,"")</f>
        <v>34.379310344827587</v>
      </c>
      <c r="F25" s="12">
        <v>29</v>
      </c>
      <c r="G25" s="12">
        <v>1026</v>
      </c>
      <c r="H25" s="13">
        <f>(F25+G25)/($F$173+$G$173)</f>
        <v>7.8507596633177533E-4</v>
      </c>
      <c r="I25" s="13">
        <f>IF(AND(F25&lt;&gt;0,G25&lt;&gt;0),(G25-F25)/F25,"")</f>
        <v>34.379310344827587</v>
      </c>
      <c r="J25" s="15">
        <v>26</v>
      </c>
      <c r="K25" s="15">
        <v>799</v>
      </c>
      <c r="L25" s="16">
        <f>(J25+K25)/($J$173+$K$173)</f>
        <v>9.3502960927096027E-4</v>
      </c>
      <c r="M25" s="16">
        <f>IF(AND(J25&lt;&gt;0,K25&lt;&gt;0),(K25-J25)/J25,"")</f>
        <v>29.73076923076923</v>
      </c>
      <c r="N25"/>
    </row>
    <row r="26" spans="1:14" hidden="1" x14ac:dyDescent="0.2">
      <c r="A26" t="s">
        <v>65</v>
      </c>
      <c r="B26" s="9">
        <v>53</v>
      </c>
      <c r="C26" s="9">
        <v>1838</v>
      </c>
      <c r="D26" s="10">
        <f>(B26+C26)/($B$173+$C$173)</f>
        <v>7.6750985870675196E-4</v>
      </c>
      <c r="E26" s="10">
        <f>IF(AND(B26&lt;&gt;0,C26&lt;&gt;0),(C26-B26)/B26,"")</f>
        <v>33.679245283018865</v>
      </c>
      <c r="F26" s="12">
        <v>53</v>
      </c>
      <c r="G26" s="12">
        <v>1838</v>
      </c>
      <c r="H26" s="13">
        <f>(F26+G26)/($F$173+$G$173)</f>
        <v>1.407183556714111E-3</v>
      </c>
      <c r="I26" s="13">
        <f>IF(AND(F26&lt;&gt;0,G26&lt;&gt;0),(G26-F26)/F26,"")</f>
        <v>33.679245283018865</v>
      </c>
      <c r="J26" s="15">
        <v>37</v>
      </c>
      <c r="K26" s="15">
        <v>1310</v>
      </c>
      <c r="L26" s="16">
        <f>(J26+K26)/($J$173+$K$173)</f>
        <v>1.5266483438642223E-3</v>
      </c>
      <c r="M26" s="16">
        <f>IF(AND(J26&lt;&gt;0,K26&lt;&gt;0),(K26-J26)/J26,"")</f>
        <v>34.405405405405403</v>
      </c>
      <c r="N26"/>
    </row>
    <row r="27" spans="1:14" hidden="1" x14ac:dyDescent="0.2">
      <c r="A27" t="s">
        <v>158</v>
      </c>
      <c r="B27" s="9">
        <v>43</v>
      </c>
      <c r="C27" s="9">
        <v>1152</v>
      </c>
      <c r="D27" s="10">
        <f>(B27+C27)/($B$173+$C$173)</f>
        <v>4.8502077268882526E-4</v>
      </c>
      <c r="E27" s="10">
        <f>IF(AND(B27&lt;&gt;0,C27&lt;&gt;0),(C27-B27)/B27,"")</f>
        <v>25.790697674418606</v>
      </c>
      <c r="F27" s="12">
        <v>30</v>
      </c>
      <c r="G27" s="12">
        <v>840</v>
      </c>
      <c r="H27" s="13">
        <f>(F27+G27)/($F$173+$G$173)</f>
        <v>6.4740861678544502E-4</v>
      </c>
      <c r="I27" s="13">
        <f>IF(AND(F27&lt;&gt;0,G27&lt;&gt;0),(G27-F27)/F27,"")</f>
        <v>27</v>
      </c>
      <c r="J27" s="15">
        <v>4</v>
      </c>
      <c r="K27" s="15">
        <v>143</v>
      </c>
      <c r="L27" s="16">
        <f>(J27+K27)/($J$173+$K$173)</f>
        <v>1.6660527583373474E-4</v>
      </c>
      <c r="M27" s="16">
        <f>IF(AND(J27&lt;&gt;0,K27&lt;&gt;0),(K27-J27)/J27,"")</f>
        <v>34.75</v>
      </c>
      <c r="N27"/>
    </row>
    <row r="28" spans="1:14" hidden="1" x14ac:dyDescent="0.2">
      <c r="A28" t="s">
        <v>62</v>
      </c>
      <c r="B28" s="9">
        <v>69</v>
      </c>
      <c r="C28" s="9">
        <v>1395</v>
      </c>
      <c r="D28" s="10">
        <f>(B28+C28)/($B$173+$C$173)</f>
        <v>5.9420118093425958E-4</v>
      </c>
      <c r="E28" s="10">
        <f>IF(AND(B28&lt;&gt;0,C28&lt;&gt;0),(C28-B28)/B28,"")</f>
        <v>19.217391304347824</v>
      </c>
      <c r="F28" s="12">
        <v>52</v>
      </c>
      <c r="G28" s="12">
        <v>987</v>
      </c>
      <c r="H28" s="13">
        <f>(F28+G28)/($F$173+$G$173)</f>
        <v>7.7316960096560625E-4</v>
      </c>
      <c r="I28" s="13">
        <f>IF(AND(F28&lt;&gt;0,G28&lt;&gt;0),(G28-F28)/F28,"")</f>
        <v>17.98076923076923</v>
      </c>
      <c r="J28" s="15">
        <v>28</v>
      </c>
      <c r="K28" s="15">
        <v>513</v>
      </c>
      <c r="L28" s="16">
        <f>(J28+K28)/($J$173+$K$173)</f>
        <v>6.1315274983707823E-4</v>
      </c>
      <c r="M28" s="16">
        <f>IF(AND(J28&lt;&gt;0,K28&lt;&gt;0),(K28-J28)/J28,"")</f>
        <v>17.321428571428573</v>
      </c>
      <c r="N28"/>
    </row>
    <row r="29" spans="1:14" hidden="1" x14ac:dyDescent="0.2">
      <c r="A29" t="s">
        <v>114</v>
      </c>
      <c r="B29" s="9">
        <v>173</v>
      </c>
      <c r="C29" s="9">
        <v>3204</v>
      </c>
      <c r="D29" s="10">
        <f>(B29+C29)/($B$173+$C$173)</f>
        <v>1.3706402923599689E-3</v>
      </c>
      <c r="E29" s="10">
        <f>IF(AND(B29&lt;&gt;0,C29&lt;&gt;0),(C29-B29)/B29,"")</f>
        <v>17.520231213872833</v>
      </c>
      <c r="F29" s="12">
        <v>173</v>
      </c>
      <c r="G29" s="12">
        <v>3204</v>
      </c>
      <c r="H29" s="13">
        <f>(F29+G29)/($F$173+$G$173)</f>
        <v>2.5129872400970667E-3</v>
      </c>
      <c r="I29" s="13">
        <f>IF(AND(F29&lt;&gt;0,G29&lt;&gt;0),(G29-F29)/F29,"")</f>
        <v>17.520231213872833</v>
      </c>
      <c r="J29" s="15">
        <v>95</v>
      </c>
      <c r="K29" s="15">
        <v>2252</v>
      </c>
      <c r="L29" s="16">
        <f>(J29+K29)/($J$173+$K$173)</f>
        <v>2.6600175672229619E-3</v>
      </c>
      <c r="M29" s="16">
        <f>IF(AND(J29&lt;&gt;0,K29&lt;&gt;0),(K29-J29)/J29,"")</f>
        <v>22.705263157894738</v>
      </c>
      <c r="N29"/>
    </row>
    <row r="30" spans="1:14" hidden="1" x14ac:dyDescent="0.2">
      <c r="A30" t="s">
        <v>29</v>
      </c>
      <c r="B30" s="9">
        <v>5</v>
      </c>
      <c r="C30" s="9">
        <v>110</v>
      </c>
      <c r="D30" s="10">
        <f>(B30+C30)/($B$173+$C$173)</f>
        <v>4.6675639212732139E-5</v>
      </c>
      <c r="E30" s="10">
        <f>IF(AND(B30&lt;&gt;0,C30&lt;&gt;0),(C30-B30)/B30,"")</f>
        <v>21</v>
      </c>
      <c r="F30" s="12">
        <v>4</v>
      </c>
      <c r="G30" s="12">
        <v>63</v>
      </c>
      <c r="H30" s="13">
        <f>(F30+G30)/($F$173+$G$173)</f>
        <v>4.9857904970833128E-5</v>
      </c>
      <c r="I30" s="13">
        <f>IF(AND(F30&lt;&gt;0,G30&lt;&gt;0),(G30-F30)/F30,"")</f>
        <v>14.75</v>
      </c>
      <c r="J30" s="15">
        <v>1</v>
      </c>
      <c r="K30" s="15">
        <v>11</v>
      </c>
      <c r="L30" s="16">
        <f>(J30+K30)/($J$173+$K$173)</f>
        <v>1.3600430680304876E-5</v>
      </c>
      <c r="M30" s="16">
        <f>IF(AND(J30&lt;&gt;0,K30&lt;&gt;0),(K30-J30)/J30,"")</f>
        <v>10</v>
      </c>
      <c r="N30"/>
    </row>
    <row r="31" spans="1:14" hidden="1" x14ac:dyDescent="0.2">
      <c r="A31" t="s">
        <v>24</v>
      </c>
      <c r="B31" s="9">
        <v>217</v>
      </c>
      <c r="C31" s="9">
        <v>3694</v>
      </c>
      <c r="D31" s="10">
        <f>(B31+C31)/($B$173+$C$173)</f>
        <v>1.5873776083564818E-3</v>
      </c>
      <c r="E31" s="10">
        <f>IF(AND(B31&lt;&gt;0,C31&lt;&gt;0),(C31-B31)/B31,"")</f>
        <v>16.023041474654377</v>
      </c>
      <c r="F31" s="12">
        <v>150</v>
      </c>
      <c r="G31" s="12">
        <v>2362</v>
      </c>
      <c r="H31" s="13">
        <f>(F31+G31)/($F$173+$G$173)</f>
        <v>1.8692993624885494E-3</v>
      </c>
      <c r="I31" s="13">
        <f>IF(AND(F31&lt;&gt;0,G31&lt;&gt;0),(G31-F31)/F31,"")</f>
        <v>14.746666666666666</v>
      </c>
      <c r="J31" s="15">
        <v>15</v>
      </c>
      <c r="K31" s="15">
        <v>237</v>
      </c>
      <c r="L31" s="16">
        <f>(J31+K31)/($J$173+$K$173)</f>
        <v>2.8560904428640238E-4</v>
      </c>
      <c r="M31" s="16">
        <f>IF(AND(J31&lt;&gt;0,K31&lt;&gt;0),(K31-J31)/J31,"")</f>
        <v>14.8</v>
      </c>
      <c r="N31"/>
    </row>
    <row r="32" spans="1:14" hidden="1" x14ac:dyDescent="0.2">
      <c r="A32" t="s">
        <v>47</v>
      </c>
      <c r="B32" s="9">
        <v>1</v>
      </c>
      <c r="C32" s="9">
        <v>15</v>
      </c>
      <c r="D32" s="10">
        <f>(B32+C32)/($B$173+$C$173)</f>
        <v>6.4940019774236019E-6</v>
      </c>
      <c r="E32" s="10">
        <f>IF(AND(B32&lt;&gt;0,C32&lt;&gt;0),(C32-B32)/B32,"")</f>
        <v>14</v>
      </c>
      <c r="F32" s="12">
        <v>1</v>
      </c>
      <c r="G32" s="12">
        <v>15</v>
      </c>
      <c r="H32" s="13">
        <f>(F32+G32)/($F$173+$G$173)</f>
        <v>1.1906365366169105E-5</v>
      </c>
      <c r="I32" s="13">
        <f>IF(AND(F32&lt;&gt;0,G32&lt;&gt;0),(G32-F32)/F32,"")</f>
        <v>14</v>
      </c>
      <c r="J32" s="15">
        <v>0</v>
      </c>
      <c r="K32" s="15">
        <v>9</v>
      </c>
      <c r="L32" s="16">
        <f>(J32+K32)/($J$173+$K$173)</f>
        <v>1.0200323010228657E-5</v>
      </c>
      <c r="M32" s="16" t="str">
        <f>IF(AND(J32&lt;&gt;0,K32&lt;&gt;0),(K32-J32)/J32,"")</f>
        <v/>
      </c>
      <c r="N32"/>
    </row>
    <row r="33" spans="1:14" hidden="1" x14ac:dyDescent="0.2">
      <c r="A33" t="s">
        <v>148</v>
      </c>
      <c r="B33" s="9">
        <v>4</v>
      </c>
      <c r="C33" s="9">
        <v>58</v>
      </c>
      <c r="D33" s="10">
        <f>(B33+C33)/($B$173+$C$173)</f>
        <v>2.5164257662516457E-5</v>
      </c>
      <c r="E33" s="10">
        <f>IF(AND(B33&lt;&gt;0,C33&lt;&gt;0),(C33-B33)/B33,"")</f>
        <v>13.5</v>
      </c>
      <c r="F33" s="12">
        <v>3</v>
      </c>
      <c r="G33" s="12">
        <v>39</v>
      </c>
      <c r="H33" s="13">
        <f>(F33+G33)/($F$173+$G$173)</f>
        <v>3.1254209086193898E-5</v>
      </c>
      <c r="I33" s="13">
        <f>IF(AND(F33&lt;&gt;0,G33&lt;&gt;0),(G33-F33)/F33,"")</f>
        <v>12</v>
      </c>
      <c r="J33" s="15">
        <v>1</v>
      </c>
      <c r="K33" s="15">
        <v>18</v>
      </c>
      <c r="L33" s="16">
        <f>(J33+K33)/($J$173+$K$173)</f>
        <v>2.1534015243816054E-5</v>
      </c>
      <c r="M33" s="16">
        <f>IF(AND(J33&lt;&gt;0,K33&lt;&gt;0),(K33-J33)/J33,"")</f>
        <v>17</v>
      </c>
      <c r="N33"/>
    </row>
    <row r="34" spans="1:14" hidden="1" x14ac:dyDescent="0.2">
      <c r="A34" t="s">
        <v>115</v>
      </c>
      <c r="B34" s="9">
        <v>102</v>
      </c>
      <c r="C34" s="9">
        <v>1233</v>
      </c>
      <c r="D34" s="10">
        <f>(B34+C34)/($B$173+$C$173)</f>
        <v>5.4184328999128182E-4</v>
      </c>
      <c r="E34" s="10">
        <f>IF(AND(B34&lt;&gt;0,C34&lt;&gt;0),(C34-B34)/B34,"")</f>
        <v>11.088235294117647</v>
      </c>
      <c r="F34" s="12">
        <v>102</v>
      </c>
      <c r="G34" s="12">
        <v>1233</v>
      </c>
      <c r="H34" s="13">
        <f>(F34+G34)/($F$173+$G$173)</f>
        <v>9.9343736023973475E-4</v>
      </c>
      <c r="I34" s="13">
        <f>IF(AND(F34&lt;&gt;0,G34&lt;&gt;0),(G34-F34)/F34,"")</f>
        <v>11.088235294117647</v>
      </c>
      <c r="J34" s="15">
        <v>80</v>
      </c>
      <c r="K34" s="15">
        <v>904</v>
      </c>
      <c r="L34" s="16">
        <f>(J34+K34)/($J$173+$K$173)</f>
        <v>1.1152353157849999E-3</v>
      </c>
      <c r="M34" s="16">
        <f>IF(AND(J34&lt;&gt;0,K34&lt;&gt;0),(K34-J34)/J34,"")</f>
        <v>10.3</v>
      </c>
      <c r="N34"/>
    </row>
    <row r="35" spans="1:14" hidden="1" x14ac:dyDescent="0.2">
      <c r="A35" t="s">
        <v>163</v>
      </c>
      <c r="B35" s="9">
        <v>127</v>
      </c>
      <c r="C35" s="9">
        <v>1561</v>
      </c>
      <c r="D35" s="10">
        <f>(B35+C35)/($B$173+$C$173)</f>
        <v>6.8511720861819006E-4</v>
      </c>
      <c r="E35" s="10">
        <f>IF(AND(B35&lt;&gt;0,C35&lt;&gt;0),(C35-B35)/B35,"")</f>
        <v>11.291338582677165</v>
      </c>
      <c r="F35" s="12">
        <v>93</v>
      </c>
      <c r="G35" s="12">
        <v>1120</v>
      </c>
      <c r="H35" s="13">
        <f>(F35+G35)/($F$173+$G$173)</f>
        <v>9.0265132432269519E-4</v>
      </c>
      <c r="I35" s="13">
        <f>IF(AND(F35&lt;&gt;0,G35&lt;&gt;0),(G35-F35)/F35,"")</f>
        <v>11.043010752688172</v>
      </c>
      <c r="J35" s="15">
        <v>32</v>
      </c>
      <c r="K35" s="15">
        <v>431</v>
      </c>
      <c r="L35" s="16">
        <f>(J35+K35)/($J$173+$K$173)</f>
        <v>5.2474995041509648E-4</v>
      </c>
      <c r="M35" s="16">
        <f>IF(AND(J35&lt;&gt;0,K35&lt;&gt;0),(K35-J35)/J35,"")</f>
        <v>12.46875</v>
      </c>
      <c r="N35"/>
    </row>
    <row r="36" spans="1:14" hidden="1" x14ac:dyDescent="0.2">
      <c r="A36" t="s">
        <v>88</v>
      </c>
      <c r="B36" s="9">
        <v>321</v>
      </c>
      <c r="C36" s="9">
        <v>3697</v>
      </c>
      <c r="D36" s="10">
        <f>(B36+C36)/($B$173+$C$173)</f>
        <v>1.6308062465805022E-3</v>
      </c>
      <c r="E36" s="10">
        <f>IF(AND(B36&lt;&gt;0,C36&lt;&gt;0),(C36-B36)/B36,"")</f>
        <v>10.517133956386292</v>
      </c>
      <c r="F36" s="12">
        <v>321</v>
      </c>
      <c r="G36" s="12">
        <v>3697</v>
      </c>
      <c r="H36" s="13">
        <f>(F36+G36)/($F$173+$G$173)</f>
        <v>2.9899860025792164E-3</v>
      </c>
      <c r="I36" s="13">
        <f>IF(AND(F36&lt;&gt;0,G36&lt;&gt;0),(G36-F36)/F36,"")</f>
        <v>10.517133956386292</v>
      </c>
      <c r="J36" s="15">
        <v>187</v>
      </c>
      <c r="K36" s="15">
        <v>2495</v>
      </c>
      <c r="L36" s="16">
        <f>(J36+K36)/($J$173+$K$173)</f>
        <v>3.0396962570481399E-3</v>
      </c>
      <c r="M36" s="16">
        <f>IF(AND(J36&lt;&gt;0,K36&lt;&gt;0),(K36-J36)/J36,"")</f>
        <v>12.342245989304812</v>
      </c>
      <c r="N36"/>
    </row>
    <row r="37" spans="1:14" hidden="1" x14ac:dyDescent="0.2">
      <c r="A37" t="s">
        <v>146</v>
      </c>
      <c r="B37" s="9">
        <v>318</v>
      </c>
      <c r="C37" s="9">
        <v>3332</v>
      </c>
      <c r="D37" s="10">
        <f>(B37+C37)/($B$173+$C$173)</f>
        <v>1.4814442010997592E-3</v>
      </c>
      <c r="E37" s="10">
        <f>IF(AND(B37&lt;&gt;0,C37&lt;&gt;0),(C37-B37)/B37,"")</f>
        <v>9.4779874213836486</v>
      </c>
      <c r="F37" s="12">
        <v>238</v>
      </c>
      <c r="G37" s="12">
        <v>2274</v>
      </c>
      <c r="H37" s="13">
        <f>(F37+G37)/($F$173+$G$173)</f>
        <v>1.8692993624885494E-3</v>
      </c>
      <c r="I37" s="13">
        <f>IF(AND(F37&lt;&gt;0,G37&lt;&gt;0),(G37-F37)/F37,"")</f>
        <v>8.5546218487394956</v>
      </c>
      <c r="J37" s="15">
        <v>124</v>
      </c>
      <c r="K37" s="15">
        <v>1227</v>
      </c>
      <c r="L37" s="16">
        <f>(J37+K37)/($J$173+$K$173)</f>
        <v>1.5311818207576573E-3</v>
      </c>
      <c r="M37" s="16">
        <f>IF(AND(J37&lt;&gt;0,K37&lt;&gt;0),(K37-J37)/J37,"")</f>
        <v>8.8951612903225801</v>
      </c>
      <c r="N37"/>
    </row>
    <row r="38" spans="1:14" hidden="1" x14ac:dyDescent="0.2">
      <c r="A38" t="s">
        <v>31</v>
      </c>
      <c r="B38" s="9">
        <v>327</v>
      </c>
      <c r="C38" s="9">
        <v>2482</v>
      </c>
      <c r="D38" s="10">
        <f>(B38+C38)/($B$173+$C$173)</f>
        <v>1.1401032221614311E-3</v>
      </c>
      <c r="E38" s="10">
        <f>IF(AND(B38&lt;&gt;0,C38&lt;&gt;0),(C38-B38)/B38,"")</f>
        <v>6.5902140672782874</v>
      </c>
      <c r="F38" s="12">
        <v>265</v>
      </c>
      <c r="G38" s="12">
        <v>1859</v>
      </c>
      <c r="H38" s="13">
        <f>(F38+G38)/($F$173+$G$173)</f>
        <v>1.5805700023589486E-3</v>
      </c>
      <c r="I38" s="13">
        <f>IF(AND(F38&lt;&gt;0,G38&lt;&gt;0),(G38-F38)/F38,"")</f>
        <v>6.0150943396226415</v>
      </c>
      <c r="J38" s="15">
        <v>71</v>
      </c>
      <c r="K38" s="15">
        <v>414</v>
      </c>
      <c r="L38" s="16">
        <f>(J38+K38)/($J$173+$K$173)</f>
        <v>5.4968407332898876E-4</v>
      </c>
      <c r="M38" s="16">
        <f>IF(AND(J38&lt;&gt;0,K38&lt;&gt;0),(K38-J38)/J38,"")</f>
        <v>4.830985915492958</v>
      </c>
      <c r="N38"/>
    </row>
    <row r="39" spans="1:14" hidden="1" x14ac:dyDescent="0.2">
      <c r="A39" t="s">
        <v>98</v>
      </c>
      <c r="B39" s="9">
        <v>312</v>
      </c>
      <c r="C39" s="9">
        <v>2242</v>
      </c>
      <c r="D39" s="10">
        <f>(B39+C39)/($B$173+$C$173)</f>
        <v>1.0366050656462425E-3</v>
      </c>
      <c r="E39" s="10">
        <f>IF(AND(B39&lt;&gt;0,C39&lt;&gt;0),(C39-B39)/B39,"")</f>
        <v>6.1858974358974361</v>
      </c>
      <c r="F39" s="12">
        <v>221</v>
      </c>
      <c r="G39" s="12">
        <v>1517</v>
      </c>
      <c r="H39" s="13">
        <f>(F39+G39)/($F$173+$G$173)</f>
        <v>1.293328937900119E-3</v>
      </c>
      <c r="I39" s="13">
        <f>IF(AND(F39&lt;&gt;0,G39&lt;&gt;0),(G39-F39)/F39,"")</f>
        <v>5.864253393665158</v>
      </c>
      <c r="J39" s="15">
        <v>122</v>
      </c>
      <c r="K39" s="15">
        <v>696</v>
      </c>
      <c r="L39" s="16">
        <f>(J39+K39)/($J$173+$K$173)</f>
        <v>9.2709602470744906E-4</v>
      </c>
      <c r="M39" s="16">
        <f>IF(AND(J39&lt;&gt;0,K39&lt;&gt;0),(K39-J39)/J39,"")</f>
        <v>4.7049180327868854</v>
      </c>
      <c r="N39"/>
    </row>
    <row r="40" spans="1:14" hidden="1" x14ac:dyDescent="0.2">
      <c r="A40" t="s">
        <v>91</v>
      </c>
      <c r="B40" s="9">
        <v>83</v>
      </c>
      <c r="C40" s="9">
        <v>514</v>
      </c>
      <c r="D40" s="10">
        <f>(B40+C40)/($B$173+$C$173)</f>
        <v>2.4230744878261815E-4</v>
      </c>
      <c r="E40" s="10">
        <f>IF(AND(B40&lt;&gt;0,C40&lt;&gt;0),(C40-B40)/B40,"")</f>
        <v>5.1927710843373491</v>
      </c>
      <c r="F40" s="12">
        <v>63</v>
      </c>
      <c r="G40" s="12">
        <v>387</v>
      </c>
      <c r="H40" s="13">
        <f>(F40+G40)/($F$173+$G$173)</f>
        <v>3.3486652592350604E-4</v>
      </c>
      <c r="I40" s="13">
        <f>IF(AND(F40&lt;&gt;0,G40&lt;&gt;0),(G40-F40)/F40,"")</f>
        <v>5.1428571428571432</v>
      </c>
      <c r="J40" s="15">
        <v>18</v>
      </c>
      <c r="K40" s="15">
        <v>121</v>
      </c>
      <c r="L40" s="16">
        <f>(J40+K40)/($J$173+$K$173)</f>
        <v>1.5753832204686482E-4</v>
      </c>
      <c r="M40" s="16">
        <f>IF(AND(J40&lt;&gt;0,K40&lt;&gt;0),(K40-J40)/J40,"")</f>
        <v>5.7222222222222223</v>
      </c>
      <c r="N40"/>
    </row>
    <row r="41" spans="1:14" x14ac:dyDescent="0.2">
      <c r="A41" t="s">
        <v>6</v>
      </c>
      <c r="B41" s="17">
        <v>63769</v>
      </c>
      <c r="C41" s="17">
        <v>192216</v>
      </c>
      <c r="D41" s="10">
        <f>(B41+C41)/($B$173+$C$173)</f>
        <v>0.1038979435119238</v>
      </c>
      <c r="E41" s="10">
        <f>IF(AND(B41&lt;&gt;0,C41&lt;&gt;0),(C41-B41)/B41,"")</f>
        <v>2.0142545751070271</v>
      </c>
      <c r="F41" s="18">
        <v>15218</v>
      </c>
      <c r="G41" s="18">
        <v>91092</v>
      </c>
      <c r="H41" s="13">
        <f>(F41+G41)/($F$173+$G$173)</f>
        <v>7.9110356379839847E-2</v>
      </c>
      <c r="I41" s="13">
        <f>IF(AND(F41&lt;&gt;0,G41&lt;&gt;0),(G41-F41)/F41,"")</f>
        <v>4.9858062820344333</v>
      </c>
      <c r="J41" s="19">
        <v>10612</v>
      </c>
      <c r="K41" s="19">
        <v>64937</v>
      </c>
      <c r="L41" s="16">
        <f>(J41+K41)/($J$173+$K$173)</f>
        <v>8.5624911455529432E-2</v>
      </c>
      <c r="M41" s="16">
        <f>IF(AND(J41&lt;&gt;0,K41&lt;&gt;0),(K41-J41)/J41,"")</f>
        <v>5.1192046739540142</v>
      </c>
      <c r="N41"/>
    </row>
    <row r="42" spans="1:14" x14ac:dyDescent="0.2">
      <c r="A42" t="s">
        <v>72</v>
      </c>
      <c r="B42" s="9">
        <v>1919</v>
      </c>
      <c r="C42" s="9">
        <v>6974</v>
      </c>
      <c r="D42" s="10">
        <f>(B42+C42)/($B$173+$C$173)</f>
        <v>3.6094474740767557E-3</v>
      </c>
      <c r="E42" s="10">
        <f>IF(AND(B42&lt;&gt;0,C42&lt;&gt;0),(C42-B42)/B42,"")</f>
        <v>2.634184471078687</v>
      </c>
      <c r="F42" s="12">
        <v>1919</v>
      </c>
      <c r="G42" s="12">
        <v>6974</v>
      </c>
      <c r="H42" s="13">
        <f>(F42+G42)/($F$173+$G$173)</f>
        <v>6.6177067000838651E-3</v>
      </c>
      <c r="I42" s="13">
        <f>IF(AND(F42&lt;&gt;0,G42&lt;&gt;0),(G42-F42)/F42,"")</f>
        <v>2.634184471078687</v>
      </c>
      <c r="J42" s="15">
        <v>1280</v>
      </c>
      <c r="K42" s="15">
        <v>5372</v>
      </c>
      <c r="L42" s="16">
        <f>(J42+K42)/($J$173+$K$173)</f>
        <v>7.5391720737823364E-3</v>
      </c>
      <c r="M42" s="16">
        <f>IF(AND(J42&lt;&gt;0,K42&lt;&gt;0),(K42-J42)/J42,"")</f>
        <v>3.1968749999999999</v>
      </c>
      <c r="N42"/>
    </row>
    <row r="43" spans="1:14" hidden="1" x14ac:dyDescent="0.2">
      <c r="A43" t="s">
        <v>36</v>
      </c>
      <c r="B43" s="9">
        <v>1413</v>
      </c>
      <c r="C43" s="9">
        <v>4887</v>
      </c>
      <c r="D43" s="10">
        <f>(B43+C43)/($B$173+$C$173)</f>
        <v>2.5570132786105434E-3</v>
      </c>
      <c r="E43" s="10">
        <f>IF(AND(B43&lt;&gt;0,C43&lt;&gt;0),(C43-B43)/B43,"")</f>
        <v>2.4585987261146496</v>
      </c>
      <c r="F43" s="12">
        <v>949</v>
      </c>
      <c r="G43" s="12">
        <v>3441</v>
      </c>
      <c r="H43" s="13">
        <f>(F43+G43)/($F$173+$G$173)</f>
        <v>3.2668089973426481E-3</v>
      </c>
      <c r="I43" s="13">
        <f>IF(AND(F43&lt;&gt;0,G43&lt;&gt;0),(G43-F43)/F43,"")</f>
        <v>2.6259220231822971</v>
      </c>
      <c r="J43" s="15">
        <v>319</v>
      </c>
      <c r="K43" s="15">
        <v>1092</v>
      </c>
      <c r="L43" s="16">
        <f>(J43+K43)/($J$173+$K$173)</f>
        <v>1.5991839741591816E-3</v>
      </c>
      <c r="M43" s="16">
        <f>IF(AND(J43&lt;&gt;0,K43&lt;&gt;0),(K43-J43)/J43,"")</f>
        <v>2.4231974921630095</v>
      </c>
      <c r="N43"/>
    </row>
    <row r="44" spans="1:14" hidden="1" x14ac:dyDescent="0.2">
      <c r="A44" t="s">
        <v>118</v>
      </c>
      <c r="B44" s="9">
        <v>2185</v>
      </c>
      <c r="C44" s="9">
        <v>4463</v>
      </c>
      <c r="D44" s="10">
        <f>(B44+C44)/($B$173+$C$173)</f>
        <v>2.6982578216195067E-3</v>
      </c>
      <c r="E44" s="10">
        <f>IF(AND(B44&lt;&gt;0,C44&lt;&gt;0),(C44-B44)/B44,"")</f>
        <v>1.0425629290617848</v>
      </c>
      <c r="F44" s="12">
        <v>1211</v>
      </c>
      <c r="G44" s="12">
        <v>3416</v>
      </c>
      <c r="H44" s="13">
        <f>(F44+G44)/($F$173+$G$173)</f>
        <v>3.4431720343290279E-3</v>
      </c>
      <c r="I44" s="13">
        <f>IF(AND(F44&lt;&gt;0,G44&lt;&gt;0),(G44-F44)/F44,"")</f>
        <v>1.8208092485549132</v>
      </c>
      <c r="J44" s="15">
        <v>514</v>
      </c>
      <c r="K44" s="15">
        <v>1749</v>
      </c>
      <c r="L44" s="16">
        <f>(J44+K44)/($J$173+$K$173)</f>
        <v>2.5648145524608278E-3</v>
      </c>
      <c r="M44" s="16">
        <f>IF(AND(J44&lt;&gt;0,K44&lt;&gt;0),(K44-J44)/J44,"")</f>
        <v>2.4027237354085602</v>
      </c>
      <c r="N44"/>
    </row>
    <row r="45" spans="1:14" x14ac:dyDescent="0.2">
      <c r="A45" t="s">
        <v>68</v>
      </c>
      <c r="B45" s="17">
        <v>22011</v>
      </c>
      <c r="C45" s="17">
        <v>60479</v>
      </c>
      <c r="D45" s="10">
        <f>(B45+C45)/($B$173+$C$173)</f>
        <v>3.3480638944854556E-2</v>
      </c>
      <c r="E45" s="10">
        <f>IF(AND(B45&lt;&gt;0,C45&lt;&gt;0),(C45-B45)/B45,"")</f>
        <v>1.7476716187360866</v>
      </c>
      <c r="F45" s="18">
        <v>22011</v>
      </c>
      <c r="G45" s="18">
        <v>60479</v>
      </c>
      <c r="H45" s="13">
        <f>(F45+G45)/($F$173+$G$173)</f>
        <v>6.1384754940955591E-2</v>
      </c>
      <c r="I45" s="13">
        <f>IF(AND(F45&lt;&gt;0,G45&lt;&gt;0),(G45-F45)/F45,"")</f>
        <v>1.7476716187360866</v>
      </c>
      <c r="J45" s="19">
        <v>15857</v>
      </c>
      <c r="K45" s="19">
        <v>46956</v>
      </c>
      <c r="L45" s="16">
        <f>(J45+K45)/($J$173+$K$173)</f>
        <v>7.1190321026832523E-2</v>
      </c>
      <c r="M45" s="16">
        <f>IF(AND(J45&lt;&gt;0,K45&lt;&gt;0),(K45-J45)/J45,"")</f>
        <v>1.9612158668096109</v>
      </c>
      <c r="N45"/>
    </row>
    <row r="46" spans="1:14" hidden="1" x14ac:dyDescent="0.2">
      <c r="A46" t="s">
        <v>121</v>
      </c>
      <c r="B46" s="9">
        <v>1335</v>
      </c>
      <c r="C46" s="9">
        <v>1393</v>
      </c>
      <c r="D46" s="10">
        <f>(B46+C46)/($B$173+$C$173)</f>
        <v>1.1072273371507241E-3</v>
      </c>
      <c r="E46" s="10">
        <f>IF(AND(B46&lt;&gt;0,C46&lt;&gt;0),(C46-B46)/B46,"")</f>
        <v>4.3445692883895132E-2</v>
      </c>
      <c r="F46" s="12">
        <v>18</v>
      </c>
      <c r="G46" s="12">
        <v>48</v>
      </c>
      <c r="H46" s="13">
        <f>(F46+G46)/($F$173+$G$173)</f>
        <v>4.9113757135447554E-5</v>
      </c>
      <c r="I46" s="13">
        <f>IF(AND(F46&lt;&gt;0,G46&lt;&gt;0),(G46-F46)/F46,"")</f>
        <v>1.6666666666666667</v>
      </c>
      <c r="J46" s="15">
        <v>11</v>
      </c>
      <c r="K46" s="15">
        <v>18</v>
      </c>
      <c r="L46" s="16">
        <f>(J46+K46)/($J$173+$K$173)</f>
        <v>3.2867707477403452E-5</v>
      </c>
      <c r="M46" s="16">
        <f>IF(AND(J46&lt;&gt;0,K46&lt;&gt;0),(K46-J46)/J46,"")</f>
        <v>0.63636363636363635</v>
      </c>
      <c r="N46"/>
    </row>
    <row r="47" spans="1:14" x14ac:dyDescent="0.2">
      <c r="A47" t="s">
        <v>20</v>
      </c>
      <c r="B47" s="9">
        <v>4688</v>
      </c>
      <c r="C47" s="9">
        <v>12002</v>
      </c>
      <c r="D47" s="10">
        <f>(B47+C47)/($B$173+$C$173)</f>
        <v>6.7740558126999952E-3</v>
      </c>
      <c r="E47" s="10">
        <f>IF(AND(B47&lt;&gt;0,C47&lt;&gt;0),(C47-B47)/B47,"")</f>
        <v>1.5601535836177474</v>
      </c>
      <c r="F47" s="12">
        <v>2538</v>
      </c>
      <c r="G47" s="12">
        <v>6748</v>
      </c>
      <c r="H47" s="13">
        <f>(F47+G47)/($F$173+$G$173)</f>
        <v>6.9101567993903939E-3</v>
      </c>
      <c r="I47" s="13">
        <f>IF(AND(F47&lt;&gt;0,G47&lt;&gt;0),(G47-F47)/F47,"")</f>
        <v>1.6587864460204886</v>
      </c>
      <c r="J47" s="15">
        <v>1378</v>
      </c>
      <c r="K47" s="15">
        <v>3713</v>
      </c>
      <c r="L47" s="16">
        <f>(J47+K47)/($J$173+$K$173)</f>
        <v>5.7699827161193434E-3</v>
      </c>
      <c r="M47" s="16">
        <f>IF(AND(J47&lt;&gt;0,K47&lt;&gt;0),(K47-J47)/J47,"")</f>
        <v>1.6944847605224964</v>
      </c>
      <c r="N47"/>
    </row>
    <row r="48" spans="1:14" x14ac:dyDescent="0.2">
      <c r="A48" t="s">
        <v>87</v>
      </c>
      <c r="B48" s="9">
        <v>7029</v>
      </c>
      <c r="C48" s="9">
        <v>13196</v>
      </c>
      <c r="D48" s="10">
        <f>(B48+C48)/($B$173+$C$173)</f>
        <v>8.2088243745870228E-3</v>
      </c>
      <c r="E48" s="10">
        <f>IF(AND(B48&lt;&gt;0,C48&lt;&gt;0),(C48-B48)/B48,"")</f>
        <v>0.87736520130886331</v>
      </c>
      <c r="F48" s="12">
        <v>2975</v>
      </c>
      <c r="G48" s="12">
        <v>7787</v>
      </c>
      <c r="H48" s="13">
        <f>(F48+G48)/($F$173+$G$173)</f>
        <v>8.0085190044194947E-3</v>
      </c>
      <c r="I48" s="13">
        <f>IF(AND(F48&lt;&gt;0,G48&lt;&gt;0),(G48-F48)/F48,"")</f>
        <v>1.6174789915966385</v>
      </c>
      <c r="J48" s="15">
        <v>1918</v>
      </c>
      <c r="K48" s="15">
        <v>4802</v>
      </c>
      <c r="L48" s="16">
        <f>(J48+K48)/($J$173+$K$173)</f>
        <v>7.6162411809707307E-3</v>
      </c>
      <c r="M48" s="16">
        <f>IF(AND(J48&lt;&gt;0,K48&lt;&gt;0),(K48-J48)/J48,"")</f>
        <v>1.5036496350364963</v>
      </c>
      <c r="N48"/>
    </row>
    <row r="49" spans="1:14" x14ac:dyDescent="0.2">
      <c r="A49" t="s">
        <v>119</v>
      </c>
      <c r="B49" s="9">
        <v>2727</v>
      </c>
      <c r="C49" s="9">
        <v>6557</v>
      </c>
      <c r="D49" s="10">
        <f>(B49+C49)/($B$173+$C$173)</f>
        <v>3.7681446474000452E-3</v>
      </c>
      <c r="E49" s="10">
        <f>IF(AND(B49&lt;&gt;0,C49&lt;&gt;0),(C49-B49)/B49,"")</f>
        <v>1.4044737807114045</v>
      </c>
      <c r="F49" s="12">
        <v>2727</v>
      </c>
      <c r="G49" s="12">
        <v>6557</v>
      </c>
      <c r="H49" s="13">
        <f>(F49+G49)/($F$173+$G$173)</f>
        <v>6.9086685037196231E-3</v>
      </c>
      <c r="I49" s="13">
        <f>IF(AND(F49&lt;&gt;0,G49&lt;&gt;0),(G49-F49)/F49,"")</f>
        <v>1.4044737807114045</v>
      </c>
      <c r="J49" s="15">
        <v>1275</v>
      </c>
      <c r="K49" s="15">
        <v>2975</v>
      </c>
      <c r="L49" s="16">
        <f>(J49+K49)/($J$173+$K$173)</f>
        <v>4.8168191992746436E-3</v>
      </c>
      <c r="M49" s="16">
        <f>IF(AND(J49&lt;&gt;0,K49&lt;&gt;0),(K49-J49)/J49,"")</f>
        <v>1.3333333333333333</v>
      </c>
      <c r="N49"/>
    </row>
    <row r="50" spans="1:14" hidden="1" x14ac:dyDescent="0.2">
      <c r="A50" t="s">
        <v>105</v>
      </c>
      <c r="B50" s="9">
        <v>8261</v>
      </c>
      <c r="C50" s="9">
        <v>8511</v>
      </c>
      <c r="D50" s="10">
        <f>(B50+C50)/($B$173+$C$173)</f>
        <v>6.8073375728342905E-3</v>
      </c>
      <c r="E50" s="10">
        <f>IF(AND(B50&lt;&gt;0,C50&lt;&gt;0),(C50-B50)/B50,"")</f>
        <v>3.0262680062946374E-2</v>
      </c>
      <c r="F50" s="12">
        <v>25</v>
      </c>
      <c r="G50" s="12">
        <v>59</v>
      </c>
      <c r="H50" s="13">
        <f>(F50+G50)/($F$173+$G$173)</f>
        <v>6.2508418172387795E-5</v>
      </c>
      <c r="I50" s="13">
        <f>IF(AND(F50&lt;&gt;0,G50&lt;&gt;0),(G50-F50)/F50,"")</f>
        <v>1.36</v>
      </c>
      <c r="J50" s="15">
        <v>5</v>
      </c>
      <c r="K50" s="15">
        <v>25</v>
      </c>
      <c r="L50" s="16">
        <f>(J50+K50)/($J$173+$K$173)</f>
        <v>3.4001076700762192E-5</v>
      </c>
      <c r="M50" s="16">
        <f>IF(AND(J50&lt;&gt;0,K50&lt;&gt;0),(K50-J50)/J50,"")</f>
        <v>4</v>
      </c>
      <c r="N50"/>
    </row>
    <row r="51" spans="1:14" hidden="1" x14ac:dyDescent="0.2">
      <c r="A51" t="s">
        <v>14</v>
      </c>
      <c r="B51" s="9">
        <v>1570</v>
      </c>
      <c r="C51" s="9">
        <v>3663</v>
      </c>
      <c r="D51" s="10">
        <f>(B51+C51)/($B$173+$C$173)</f>
        <v>2.1239445217411069E-3</v>
      </c>
      <c r="E51" s="10">
        <f>IF(AND(B51&lt;&gt;0,C51&lt;&gt;0),(C51-B51)/B51,"")</f>
        <v>1.3331210191082803</v>
      </c>
      <c r="F51" s="12">
        <v>1570</v>
      </c>
      <c r="G51" s="12">
        <v>3663</v>
      </c>
      <c r="H51" s="13">
        <f>(F51+G51)/($F$173+$G$173)</f>
        <v>3.8941256225726827E-3</v>
      </c>
      <c r="I51" s="13">
        <f>IF(AND(F51&lt;&gt;0,G51&lt;&gt;0),(G51-F51)/F51,"")</f>
        <v>1.3331210191082803</v>
      </c>
      <c r="J51" s="15">
        <v>1247</v>
      </c>
      <c r="K51" s="15">
        <v>2847</v>
      </c>
      <c r="L51" s="16">
        <f>(J51+K51)/($J$173+$K$173)</f>
        <v>4.6400136004306801E-3</v>
      </c>
      <c r="M51" s="16">
        <f>IF(AND(J51&lt;&gt;0,K51&lt;&gt;0),(K51-J51)/J51,"")</f>
        <v>1.2830793905372895</v>
      </c>
      <c r="N51"/>
    </row>
    <row r="52" spans="1:14" hidden="1" x14ac:dyDescent="0.2">
      <c r="A52" t="s">
        <v>144</v>
      </c>
      <c r="B52" s="9">
        <v>629</v>
      </c>
      <c r="C52" s="9">
        <v>1245</v>
      </c>
      <c r="D52" s="10">
        <f>(B52+C52)/($B$173+$C$173)</f>
        <v>7.6060998160573938E-4</v>
      </c>
      <c r="E52" s="10">
        <f>IF(AND(B52&lt;&gt;0,C52&lt;&gt;0),(C52-B52)/B52,"")</f>
        <v>0.97933227344992047</v>
      </c>
      <c r="F52" s="12">
        <v>445</v>
      </c>
      <c r="G52" s="12">
        <v>1038</v>
      </c>
      <c r="H52" s="13">
        <f>(F52+G52)/($F$173+$G$173)</f>
        <v>1.1035712398767988E-3</v>
      </c>
      <c r="I52" s="13">
        <f>IF(AND(F52&lt;&gt;0,G52&lt;&gt;0),(G52-F52)/F52,"")</f>
        <v>1.3325842696629213</v>
      </c>
      <c r="J52" s="15">
        <v>352</v>
      </c>
      <c r="K52" s="15">
        <v>824</v>
      </c>
      <c r="L52" s="16">
        <f>(J52+K52)/($J$173+$K$173)</f>
        <v>1.3328422066698779E-3</v>
      </c>
      <c r="M52" s="16">
        <f>IF(AND(J52&lt;&gt;0,K52&lt;&gt;0),(K52-J52)/J52,"")</f>
        <v>1.3409090909090908</v>
      </c>
      <c r="N52"/>
    </row>
    <row r="53" spans="1:14" hidden="1" x14ac:dyDescent="0.2">
      <c r="A53" t="s">
        <v>86</v>
      </c>
      <c r="B53" s="9">
        <v>5753</v>
      </c>
      <c r="C53" s="9">
        <v>6245</v>
      </c>
      <c r="D53" s="10">
        <f>(B53+C53)/($B$173+$C$173)</f>
        <v>4.8696897328205238E-3</v>
      </c>
      <c r="E53" s="10">
        <f>IF(AND(B53&lt;&gt;0,C53&lt;&gt;0),(C53-B53)/B53,"")</f>
        <v>8.5520597948896229E-2</v>
      </c>
      <c r="F53" s="12">
        <v>174</v>
      </c>
      <c r="G53" s="12">
        <v>403</v>
      </c>
      <c r="H53" s="13">
        <f>(F53+G53)/($F$173+$G$173)</f>
        <v>4.2937330101747335E-4</v>
      </c>
      <c r="I53" s="13">
        <f>IF(AND(F53&lt;&gt;0,G53&lt;&gt;0),(G53-F53)/F53,"")</f>
        <v>1.3160919540229885</v>
      </c>
      <c r="J53" s="15">
        <v>133</v>
      </c>
      <c r="K53" s="15">
        <v>319</v>
      </c>
      <c r="L53" s="16">
        <f>(J53+K53)/($J$173+$K$173)</f>
        <v>5.1228288895815034E-4</v>
      </c>
      <c r="M53" s="16">
        <f>IF(AND(J53&lt;&gt;0,K53&lt;&gt;0),(K53-J53)/J53,"")</f>
        <v>1.3984962406015038</v>
      </c>
      <c r="N53"/>
    </row>
    <row r="54" spans="1:14" x14ac:dyDescent="0.2">
      <c r="A54" t="s">
        <v>104</v>
      </c>
      <c r="B54" s="9">
        <v>7418</v>
      </c>
      <c r="C54" s="9">
        <v>14537</v>
      </c>
      <c r="D54" s="10">
        <f>(B54+C54)/($B$173+$C$173)</f>
        <v>8.9109883383959483E-3</v>
      </c>
      <c r="E54" s="10">
        <f>IF(AND(B54&lt;&gt;0,C54&lt;&gt;0),(C54-B54)/B54,"")</f>
        <v>0.95969263952547856</v>
      </c>
      <c r="F54" s="12">
        <v>6360</v>
      </c>
      <c r="G54" s="12">
        <v>13489</v>
      </c>
      <c r="H54" s="13">
        <f>(F54+G54)/($F$173+$G$173)</f>
        <v>1.477059038456816E-2</v>
      </c>
      <c r="I54" s="13">
        <f>IF(AND(F54&lt;&gt;0,G54&lt;&gt;0),(G54-F54)/F54,"")</f>
        <v>1.1209119496855346</v>
      </c>
      <c r="J54" s="15">
        <v>3488</v>
      </c>
      <c r="K54" s="15">
        <v>7290</v>
      </c>
      <c r="L54" s="16">
        <f>(J54+K54)/($J$173+$K$173)</f>
        <v>1.2215453489360496E-2</v>
      </c>
      <c r="M54" s="16">
        <f>IF(AND(J54&lt;&gt;0,K54&lt;&gt;0),(K54-J54)/J54,"")</f>
        <v>1.0900229357798166</v>
      </c>
      <c r="N54"/>
    </row>
    <row r="55" spans="1:14" hidden="1" x14ac:dyDescent="0.2">
      <c r="A55" t="s">
        <v>21</v>
      </c>
      <c r="B55" s="9">
        <v>4192</v>
      </c>
      <c r="C55" s="9">
        <v>4687</v>
      </c>
      <c r="D55" s="10">
        <f>(B55+C55)/($B$173+$C$173)</f>
        <v>3.6037652223465102E-3</v>
      </c>
      <c r="E55" s="10">
        <f>IF(AND(B55&lt;&gt;0,C55&lt;&gt;0),(C55-B55)/B55,"")</f>
        <v>0.1180820610687023</v>
      </c>
      <c r="F55" s="12">
        <v>198</v>
      </c>
      <c r="G55" s="12">
        <v>400</v>
      </c>
      <c r="H55" s="13">
        <f>(F55+G55)/($F$173+$G$173)</f>
        <v>4.4500040556057029E-4</v>
      </c>
      <c r="I55" s="13">
        <f>IF(AND(F55&lt;&gt;0,G55&lt;&gt;0),(G55-F55)/F55,"")</f>
        <v>1.0202020202020201</v>
      </c>
      <c r="J55" s="15">
        <v>102</v>
      </c>
      <c r="K55" s="15">
        <v>209</v>
      </c>
      <c r="L55" s="16">
        <f>(J55+K55)/($J$173+$K$173)</f>
        <v>3.5247782846456802E-4</v>
      </c>
      <c r="M55" s="16">
        <f>IF(AND(J55&lt;&gt;0,K55&lt;&gt;0),(K55-J55)/J55,"")</f>
        <v>1.0490196078431373</v>
      </c>
      <c r="N55"/>
    </row>
    <row r="56" spans="1:14" x14ac:dyDescent="0.2">
      <c r="A56" t="s">
        <v>100</v>
      </c>
      <c r="B56" s="9">
        <v>9993</v>
      </c>
      <c r="C56" s="9">
        <v>19491</v>
      </c>
      <c r="D56" s="10">
        <f>(B56+C56)/($B$173+$C$173)</f>
        <v>1.1966822143897342E-2</v>
      </c>
      <c r="E56" s="10">
        <f>IF(AND(B56&lt;&gt;0,C56&lt;&gt;0),(C56-B56)/B56,"")</f>
        <v>0.95046532572800957</v>
      </c>
      <c r="F56" s="12">
        <v>9993</v>
      </c>
      <c r="G56" s="12">
        <v>19491</v>
      </c>
      <c r="H56" s="13">
        <f>(F56+G56)/($F$173+$G$173)</f>
        <v>2.1940454778508117E-2</v>
      </c>
      <c r="I56" s="13">
        <f>IF(AND(F56&lt;&gt;0,G56&lt;&gt;0),(G56-F56)/F56,"")</f>
        <v>0.95046532572800957</v>
      </c>
      <c r="J56" s="15">
        <v>5758</v>
      </c>
      <c r="K56" s="15">
        <v>11615</v>
      </c>
      <c r="L56" s="16">
        <f>(J56+K56)/($J$173+$K$173)</f>
        <v>1.9690023517411386E-2</v>
      </c>
      <c r="M56" s="16">
        <f>IF(AND(J56&lt;&gt;0,K56&lt;&gt;0),(K56-J56)/J56,"")</f>
        <v>1.0171934699548455</v>
      </c>
      <c r="N56"/>
    </row>
    <row r="57" spans="1:14" hidden="1" x14ac:dyDescent="0.2">
      <c r="A57" t="s">
        <v>159</v>
      </c>
      <c r="B57" s="9">
        <v>1811</v>
      </c>
      <c r="C57" s="9">
        <v>2778</v>
      </c>
      <c r="D57" s="10">
        <f>(B57+C57)/($B$173+$C$173)</f>
        <v>1.8625609421498068E-3</v>
      </c>
      <c r="E57" s="10">
        <f>IF(AND(B57&lt;&gt;0,C57&lt;&gt;0),(C57-B57)/B57,"")</f>
        <v>0.53395913859745991</v>
      </c>
      <c r="F57" s="12">
        <v>1213</v>
      </c>
      <c r="G57" s="12">
        <v>2142</v>
      </c>
      <c r="H57" s="13">
        <f>(F57+G57)/($F$173+$G$173)</f>
        <v>2.4966159877185842E-3</v>
      </c>
      <c r="I57" s="13">
        <f>IF(AND(F57&lt;&gt;0,G57&lt;&gt;0),(G57-F57)/F57,"")</f>
        <v>0.76586974443528444</v>
      </c>
      <c r="J57" s="15">
        <v>501</v>
      </c>
      <c r="K57" s="15">
        <v>977</v>
      </c>
      <c r="L57" s="16">
        <f>(J57+K57)/($J$173+$K$173)</f>
        <v>1.6751197121242173E-3</v>
      </c>
      <c r="M57" s="16">
        <f>IF(AND(J57&lt;&gt;0,K57&lt;&gt;0),(K57-J57)/J57,"")</f>
        <v>0.95009980039920161</v>
      </c>
      <c r="N57"/>
    </row>
    <row r="58" spans="1:14" hidden="1" x14ac:dyDescent="0.2">
      <c r="A58" t="s">
        <v>123</v>
      </c>
      <c r="B58" s="9">
        <v>16212</v>
      </c>
      <c r="C58" s="9">
        <v>16237</v>
      </c>
      <c r="D58" s="10">
        <f>(B58+C58)/($B$173+$C$173)</f>
        <v>1.3170241885338654E-2</v>
      </c>
      <c r="E58" s="10">
        <f>IF(AND(B58&lt;&gt;0,C58&lt;&gt;0),(C58-B58)/B58,"")</f>
        <v>1.5420676042437701E-3</v>
      </c>
      <c r="F58" s="12">
        <v>38</v>
      </c>
      <c r="G58" s="12">
        <v>63</v>
      </c>
      <c r="H58" s="13">
        <f>(F58+G58)/($F$173+$G$173)</f>
        <v>7.5158931373942476E-5</v>
      </c>
      <c r="I58" s="13">
        <f>IF(AND(F58&lt;&gt;0,G58&lt;&gt;0),(G58-F58)/F58,"")</f>
        <v>0.65789473684210531</v>
      </c>
      <c r="J58" s="15">
        <v>23</v>
      </c>
      <c r="K58" s="15">
        <v>36</v>
      </c>
      <c r="L58" s="16">
        <f>(J58+K58)/($J$173+$K$173)</f>
        <v>6.6868784178165637E-5</v>
      </c>
      <c r="M58" s="16">
        <f>IF(AND(J58&lt;&gt;0,K58&lt;&gt;0),(K58-J58)/J58,"")</f>
        <v>0.56521739130434778</v>
      </c>
      <c r="N58"/>
    </row>
    <row r="59" spans="1:14" hidden="1" x14ac:dyDescent="0.2">
      <c r="A59" t="s">
        <v>77</v>
      </c>
      <c r="B59" s="9">
        <v>679</v>
      </c>
      <c r="C59" s="9">
        <v>1165</v>
      </c>
      <c r="D59" s="10">
        <f>(B59+C59)/($B$173+$C$173)</f>
        <v>7.4843372789807011E-4</v>
      </c>
      <c r="E59" s="10">
        <f>IF(AND(B59&lt;&gt;0,C59&lt;&gt;0),(C59-B59)/B59,"")</f>
        <v>0.71575846833578793</v>
      </c>
      <c r="F59" s="12">
        <v>506</v>
      </c>
      <c r="G59" s="12">
        <v>827</v>
      </c>
      <c r="H59" s="13">
        <f>(F59+G59)/($F$173+$G$173)</f>
        <v>9.9194906456896346E-4</v>
      </c>
      <c r="I59" s="13">
        <f>IF(AND(F59&lt;&gt;0,G59&lt;&gt;0),(G59-F59)/F59,"")</f>
        <v>0.63438735177865613</v>
      </c>
      <c r="J59" s="15">
        <v>302</v>
      </c>
      <c r="K59" s="15">
        <v>489</v>
      </c>
      <c r="L59" s="16">
        <f>(J59+K59)/($J$173+$K$173)</f>
        <v>8.9649505567676309E-4</v>
      </c>
      <c r="M59" s="16">
        <f>IF(AND(J59&lt;&gt;0,K59&lt;&gt;0),(K59-J59)/J59,"")</f>
        <v>0.61920529801324509</v>
      </c>
      <c r="N59"/>
    </row>
    <row r="60" spans="1:14" x14ac:dyDescent="0.2">
      <c r="A60" t="s">
        <v>83</v>
      </c>
      <c r="B60" s="9">
        <v>3906</v>
      </c>
      <c r="C60" s="9">
        <v>6343</v>
      </c>
      <c r="D60" s="10">
        <f>(B60+C60)/($B$173+$C$173)</f>
        <v>4.1598141416634062E-3</v>
      </c>
      <c r="E60" s="10">
        <f>IF(AND(B60&lt;&gt;0,C60&lt;&gt;0),(C60-B60)/B60,"")</f>
        <v>0.62391193036354331</v>
      </c>
      <c r="F60" s="12">
        <v>3906</v>
      </c>
      <c r="G60" s="12">
        <v>6343</v>
      </c>
      <c r="H60" s="13">
        <f>(F60+G60)/($F$173+$G$173)</f>
        <v>7.6267711648666968E-3</v>
      </c>
      <c r="I60" s="13">
        <f>IF(AND(F60&lt;&gt;0,G60&lt;&gt;0),(G60-F60)/F60,"")</f>
        <v>0.62391193036354331</v>
      </c>
      <c r="J60" s="15">
        <v>2243</v>
      </c>
      <c r="K60" s="15">
        <v>3611</v>
      </c>
      <c r="L60" s="16">
        <f>(J60+K60)/($J$173+$K$173)</f>
        <v>6.6347434335420619E-3</v>
      </c>
      <c r="M60" s="16">
        <f>IF(AND(J60&lt;&gt;0,K60&lt;&gt;0),(K60-J60)/J60,"")</f>
        <v>0.60989745876058854</v>
      </c>
      <c r="N60"/>
    </row>
    <row r="61" spans="1:14" hidden="1" x14ac:dyDescent="0.2">
      <c r="A61" t="s">
        <v>33</v>
      </c>
      <c r="B61" s="9">
        <v>3855</v>
      </c>
      <c r="C61" s="9">
        <v>5329</v>
      </c>
      <c r="D61" s="10">
        <f>(B61+C61)/($B$173+$C$173)</f>
        <v>3.7275571350411478E-3</v>
      </c>
      <c r="E61" s="10">
        <f>IF(AND(B61&lt;&gt;0,C61&lt;&gt;0),(C61-B61)/B61,"")</f>
        <v>0.38236057068741891</v>
      </c>
      <c r="F61" s="12">
        <v>1677</v>
      </c>
      <c r="G61" s="12">
        <v>2670</v>
      </c>
      <c r="H61" s="13">
        <f>(F61+G61)/($F$173+$G$173)</f>
        <v>3.2348106404210685E-3</v>
      </c>
      <c r="I61" s="13">
        <f>IF(AND(F61&lt;&gt;0,G61&lt;&gt;0),(G61-F61)/F61,"")</f>
        <v>0.59212880143112701</v>
      </c>
      <c r="J61" s="15">
        <v>1070</v>
      </c>
      <c r="K61" s="15">
        <v>1793</v>
      </c>
      <c r="L61" s="16">
        <f>(J61+K61)/($J$173+$K$173)</f>
        <v>3.2448360864760716E-3</v>
      </c>
      <c r="M61" s="16">
        <f>IF(AND(J61&lt;&gt;0,K61&lt;&gt;0),(K61-J61)/J61,"")</f>
        <v>0.67570093457943925</v>
      </c>
      <c r="N61"/>
    </row>
    <row r="62" spans="1:14" hidden="1" x14ac:dyDescent="0.2">
      <c r="A62" t="s">
        <v>51</v>
      </c>
      <c r="B62" s="9">
        <v>836</v>
      </c>
      <c r="C62" s="9">
        <v>1320</v>
      </c>
      <c r="D62" s="10">
        <f>(B62+C62)/($B$173+$C$173)</f>
        <v>8.7506676645783034E-4</v>
      </c>
      <c r="E62" s="10">
        <f>IF(AND(B62&lt;&gt;0,C62&lt;&gt;0),(C62-B62)/B62,"")</f>
        <v>0.57894736842105265</v>
      </c>
      <c r="F62" s="12">
        <v>836</v>
      </c>
      <c r="G62" s="12">
        <v>1320</v>
      </c>
      <c r="H62" s="13">
        <f>(F62+G62)/($F$173+$G$173)</f>
        <v>1.6043827330912868E-3</v>
      </c>
      <c r="I62" s="13">
        <f>IF(AND(F62&lt;&gt;0,G62&lt;&gt;0),(G62-F62)/F62,"")</f>
        <v>0.57894736842105265</v>
      </c>
      <c r="J62" s="15">
        <v>428</v>
      </c>
      <c r="K62" s="15">
        <v>644</v>
      </c>
      <c r="L62" s="16">
        <f>(J62+K62)/($J$173+$K$173)</f>
        <v>1.2149718074405689E-3</v>
      </c>
      <c r="M62" s="16">
        <f>IF(AND(J62&lt;&gt;0,K62&lt;&gt;0),(K62-J62)/J62,"")</f>
        <v>0.50467289719626163</v>
      </c>
      <c r="N62"/>
    </row>
    <row r="63" spans="1:14" hidden="1" x14ac:dyDescent="0.2">
      <c r="A63" t="s">
        <v>49</v>
      </c>
      <c r="B63" s="9">
        <v>4737</v>
      </c>
      <c r="C63" s="9">
        <v>4857</v>
      </c>
      <c r="D63" s="10">
        <f>(B63+C63)/($B$173+$C$173)</f>
        <v>3.8939659357126273E-3</v>
      </c>
      <c r="E63" s="10">
        <f>IF(AND(B63&lt;&gt;0,C63&lt;&gt;0),(C63-B63)/B63,"")</f>
        <v>2.53324889170361E-2</v>
      </c>
      <c r="F63" s="12">
        <v>498</v>
      </c>
      <c r="G63" s="12">
        <v>742</v>
      </c>
      <c r="H63" s="13">
        <f>(F63+G63)/($F$173+$G$173)</f>
        <v>9.2274331587810564E-4</v>
      </c>
      <c r="I63" s="13">
        <f>IF(AND(F63&lt;&gt;0,G63&lt;&gt;0),(G63-F63)/F63,"")</f>
        <v>0.48995983935742971</v>
      </c>
      <c r="J63" s="15">
        <v>359</v>
      </c>
      <c r="K63" s="15">
        <v>599</v>
      </c>
      <c r="L63" s="16">
        <f>(J63+K63)/($J$173+$K$173)</f>
        <v>1.0857677159776726E-3</v>
      </c>
      <c r="M63" s="16">
        <f>IF(AND(J63&lt;&gt;0,K63&lt;&gt;0),(K63-J63)/J63,"")</f>
        <v>0.66852367688022285</v>
      </c>
      <c r="N63"/>
    </row>
    <row r="64" spans="1:14" hidden="1" x14ac:dyDescent="0.2">
      <c r="A64" t="s">
        <v>170</v>
      </c>
      <c r="B64" s="9">
        <v>3308</v>
      </c>
      <c r="C64" s="9">
        <v>3465</v>
      </c>
      <c r="D64" s="10">
        <f>(B64+C64)/($B$173+$C$173)</f>
        <v>2.7489922120681287E-3</v>
      </c>
      <c r="E64" s="10">
        <f>IF(AND(B64&lt;&gt;0,C64&lt;&gt;0),(C64-B64)/B64,"")</f>
        <v>4.746070133010883E-2</v>
      </c>
      <c r="F64" s="12">
        <v>874</v>
      </c>
      <c r="G64" s="12">
        <v>1187</v>
      </c>
      <c r="H64" s="13">
        <f>(F64+G64)/($F$173+$G$173)</f>
        <v>1.5336886887296578E-3</v>
      </c>
      <c r="I64" s="13">
        <f>IF(AND(F64&lt;&gt;0,G64&lt;&gt;0),(G64-F64)/F64,"")</f>
        <v>0.35812356979405036</v>
      </c>
      <c r="J64" s="15">
        <v>324</v>
      </c>
      <c r="K64" s="15">
        <v>395</v>
      </c>
      <c r="L64" s="16">
        <f>(J64+K64)/($J$173+$K$173)</f>
        <v>8.1489247159493379E-4</v>
      </c>
      <c r="M64" s="16">
        <f>IF(AND(J64&lt;&gt;0,K64&lt;&gt;0),(K64-J64)/J64,"")</f>
        <v>0.2191358024691358</v>
      </c>
      <c r="N64"/>
    </row>
    <row r="65" spans="1:14" hidden="1" x14ac:dyDescent="0.2">
      <c r="A65" t="s">
        <v>71</v>
      </c>
      <c r="B65" s="9">
        <v>972</v>
      </c>
      <c r="C65" s="9">
        <v>1314</v>
      </c>
      <c r="D65" s="10">
        <f>(B65+C65)/($B$173+$C$173)</f>
        <v>9.2783053252439712E-4</v>
      </c>
      <c r="E65" s="10">
        <f>IF(AND(B65&lt;&gt;0,C65&lt;&gt;0),(C65-B65)/B65,"")</f>
        <v>0.35185185185185186</v>
      </c>
      <c r="F65" s="12">
        <v>972</v>
      </c>
      <c r="G65" s="12">
        <v>1314</v>
      </c>
      <c r="H65" s="13">
        <f>(F65+G65)/($F$173+$G$173)</f>
        <v>1.7011219516914109E-3</v>
      </c>
      <c r="I65" s="13">
        <f>IF(AND(F65&lt;&gt;0,G65&lt;&gt;0),(G65-F65)/F65,"")</f>
        <v>0.35185185185185186</v>
      </c>
      <c r="J65" s="15">
        <v>575</v>
      </c>
      <c r="K65" s="15">
        <v>828</v>
      </c>
      <c r="L65" s="16">
        <f>(J65+K65)/($J$173+$K$173)</f>
        <v>1.5901170203723117E-3</v>
      </c>
      <c r="M65" s="16">
        <f>IF(AND(J65&lt;&gt;0,K65&lt;&gt;0),(K65-J65)/J65,"")</f>
        <v>0.44</v>
      </c>
      <c r="N65"/>
    </row>
    <row r="66" spans="1:14" hidden="1" x14ac:dyDescent="0.2">
      <c r="A66" t="s">
        <v>103</v>
      </c>
      <c r="B66" s="9">
        <v>890</v>
      </c>
      <c r="C66" s="9">
        <v>1196</v>
      </c>
      <c r="D66" s="10">
        <f>(B66+C66)/($B$173+$C$173)</f>
        <v>8.4665550780660208E-4</v>
      </c>
      <c r="E66" s="10">
        <f>IF(AND(B66&lt;&gt;0,C66&lt;&gt;0),(C66-B66)/B66,"")</f>
        <v>0.34382022471910112</v>
      </c>
      <c r="F66" s="12">
        <v>890</v>
      </c>
      <c r="G66" s="12">
        <v>1196</v>
      </c>
      <c r="H66" s="13">
        <f>(F66+G66)/($F$173+$G$173)</f>
        <v>1.552292384614297E-3</v>
      </c>
      <c r="I66" s="13">
        <f>IF(AND(F66&lt;&gt;0,G66&lt;&gt;0),(G66-F66)/F66,"")</f>
        <v>0.34382022471910112</v>
      </c>
      <c r="J66" s="15">
        <v>677</v>
      </c>
      <c r="K66" s="15">
        <v>907</v>
      </c>
      <c r="L66" s="16">
        <f>(J66+K66)/($J$173+$K$173)</f>
        <v>1.7952568498002437E-3</v>
      </c>
      <c r="M66" s="16">
        <f>IF(AND(J66&lt;&gt;0,K66&lt;&gt;0),(K66-J66)/J66,"")</f>
        <v>0.33973412112259971</v>
      </c>
      <c r="N66"/>
    </row>
    <row r="67" spans="1:14" x14ac:dyDescent="0.2">
      <c r="A67" t="s">
        <v>41</v>
      </c>
      <c r="B67" s="17">
        <v>26697</v>
      </c>
      <c r="C67" s="17">
        <v>30207</v>
      </c>
      <c r="D67" s="10">
        <f>(B67+C67)/($B$173+$C$173)</f>
        <v>2.3095918032707042E-2</v>
      </c>
      <c r="E67" s="10">
        <f>IF(AND(B67&lt;&gt;0,C67&lt;&gt;0),(C67-B67)/B67,"")</f>
        <v>0.13147544667940217</v>
      </c>
      <c r="F67" s="18">
        <v>14307</v>
      </c>
      <c r="G67" s="18">
        <v>17912</v>
      </c>
      <c r="H67" s="13">
        <f>(F67+G67)/($F$173+$G$173)</f>
        <v>2.3975699108287649E-2</v>
      </c>
      <c r="I67" s="13">
        <f>IF(AND(F67&lt;&gt;0,G67&lt;&gt;0),(G67-F67)/F67,"")</f>
        <v>0.25197455790871603</v>
      </c>
      <c r="J67" s="19">
        <v>6640</v>
      </c>
      <c r="K67" s="19">
        <v>9282</v>
      </c>
      <c r="L67" s="16">
        <f>(J67+K67)/($J$173+$K$173)</f>
        <v>1.8045504774317853E-2</v>
      </c>
      <c r="M67" s="16">
        <f>IF(AND(J67&lt;&gt;0,K67&lt;&gt;0),(K67-J67)/J67,"")</f>
        <v>0.39789156626506023</v>
      </c>
      <c r="N67"/>
    </row>
    <row r="68" spans="1:14" hidden="1" x14ac:dyDescent="0.2">
      <c r="A68" t="s">
        <v>139</v>
      </c>
      <c r="B68" s="9">
        <v>1045</v>
      </c>
      <c r="C68" s="9">
        <v>1122</v>
      </c>
      <c r="D68" s="10">
        <f>(B68+C68)/($B$173+$C$173)</f>
        <v>8.7953139281730908E-4</v>
      </c>
      <c r="E68" s="10">
        <f>IF(AND(B68&lt;&gt;0,C68&lt;&gt;0),(C68-B68)/B68,"")</f>
        <v>7.3684210526315783E-2</v>
      </c>
      <c r="F68" s="12">
        <v>23</v>
      </c>
      <c r="G68" s="12">
        <v>28</v>
      </c>
      <c r="H68" s="13">
        <f>(F68+G68)/($F$173+$G$173)</f>
        <v>3.7951539604664021E-5</v>
      </c>
      <c r="I68" s="13">
        <f>IF(AND(F68&lt;&gt;0,G68&lt;&gt;0),(G68-F68)/F68,"")</f>
        <v>0.21739130434782608</v>
      </c>
      <c r="J68" s="15">
        <v>11</v>
      </c>
      <c r="K68" s="15">
        <v>18</v>
      </c>
      <c r="L68" s="16">
        <f>(J68+K68)/($J$173+$K$173)</f>
        <v>3.2867707477403452E-5</v>
      </c>
      <c r="M68" s="16">
        <f>IF(AND(J68&lt;&gt;0,K68&lt;&gt;0),(K68-J68)/J68,"")</f>
        <v>0.63636363636363635</v>
      </c>
      <c r="N68"/>
    </row>
    <row r="69" spans="1:14" x14ac:dyDescent="0.2">
      <c r="A69" t="s">
        <v>13</v>
      </c>
      <c r="B69" s="17">
        <v>32491</v>
      </c>
      <c r="C69" s="17">
        <v>37875</v>
      </c>
      <c r="D69" s="10">
        <f>(B69+C69)/($B$173+$C$173)</f>
        <v>2.8559808946461825E-2</v>
      </c>
      <c r="E69" s="10">
        <f>IF(AND(B69&lt;&gt;0,C69&lt;&gt;0),(C69-B69)/B69,"")</f>
        <v>0.16570742667200147</v>
      </c>
      <c r="F69" s="18">
        <v>32491</v>
      </c>
      <c r="G69" s="18">
        <v>37875</v>
      </c>
      <c r="H69" s="13">
        <f>(F69+G69)/($F$173+$G$173)</f>
        <v>5.2362706584740952E-2</v>
      </c>
      <c r="I69" s="13">
        <f>IF(AND(F69&lt;&gt;0,G69&lt;&gt;0),(G69-F69)/F69,"")</f>
        <v>0.16570742667200147</v>
      </c>
      <c r="J69" s="19">
        <v>23806</v>
      </c>
      <c r="K69" s="19">
        <v>28683</v>
      </c>
      <c r="L69" s="16">
        <f>(J69+K69)/($J$173+$K$173)</f>
        <v>5.9489417164876886E-2</v>
      </c>
      <c r="M69" s="16">
        <f>IF(AND(J69&lt;&gt;0,K69&lt;&gt;0),(K69-J69)/J69,"")</f>
        <v>0.20486431991934806</v>
      </c>
      <c r="N69"/>
    </row>
    <row r="70" spans="1:14" hidden="1" x14ac:dyDescent="0.2">
      <c r="A70" t="s">
        <v>66</v>
      </c>
      <c r="B70" s="9">
        <v>287</v>
      </c>
      <c r="C70" s="9">
        <v>378</v>
      </c>
      <c r="D70" s="10">
        <f>(B70+C70)/($B$173+$C$173)</f>
        <v>2.6990695718666846E-4</v>
      </c>
      <c r="E70" s="10">
        <f>IF(AND(B70&lt;&gt;0,C70&lt;&gt;0),(C70-B70)/B70,"")</f>
        <v>0.31707317073170732</v>
      </c>
      <c r="F70" s="12">
        <v>181</v>
      </c>
      <c r="G70" s="12">
        <v>208</v>
      </c>
      <c r="H70" s="13">
        <f>(F70+G70)/($F$173+$G$173)</f>
        <v>2.8947350796498637E-4</v>
      </c>
      <c r="I70" s="13">
        <f>IF(AND(F70&lt;&gt;0,G70&lt;&gt;0),(G70-F70)/F70,"")</f>
        <v>0.14917127071823205</v>
      </c>
      <c r="J70" s="15">
        <v>88</v>
      </c>
      <c r="K70" s="15">
        <v>87</v>
      </c>
      <c r="L70" s="16">
        <f>(J70+K70)/($J$173+$K$173)</f>
        <v>1.9833961408777945E-4</v>
      </c>
      <c r="M70" s="16">
        <f>IF(AND(J70&lt;&gt;0,K70&lt;&gt;0),(K70-J70)/J70,"")</f>
        <v>-1.1363636363636364E-2</v>
      </c>
      <c r="N70"/>
    </row>
    <row r="71" spans="1:14" hidden="1" x14ac:dyDescent="0.2">
      <c r="A71" t="s">
        <v>131</v>
      </c>
      <c r="B71" s="9">
        <v>2406</v>
      </c>
      <c r="C71" s="9">
        <v>2496</v>
      </c>
      <c r="D71" s="10">
        <f>(B71+C71)/($B$173+$C$173)</f>
        <v>1.989599855833156E-3</v>
      </c>
      <c r="E71" s="10">
        <f>IF(AND(B71&lt;&gt;0,C71&lt;&gt;0),(C71-B71)/B71,"")</f>
        <v>3.7406483790523692E-2</v>
      </c>
      <c r="F71" s="12">
        <v>881</v>
      </c>
      <c r="G71" s="12">
        <v>983</v>
      </c>
      <c r="H71" s="13">
        <f>(F71+G71)/($F$173+$G$173)</f>
        <v>1.3870915651587007E-3</v>
      </c>
      <c r="I71" s="13">
        <f>IF(AND(F71&lt;&gt;0,G71&lt;&gt;0),(G71-F71)/F71,"")</f>
        <v>0.11577752553916004</v>
      </c>
      <c r="J71" s="15">
        <v>516</v>
      </c>
      <c r="K71" s="15">
        <v>576</v>
      </c>
      <c r="L71" s="16">
        <f>(J71+K71)/($J$173+$K$173)</f>
        <v>1.2376391919077438E-3</v>
      </c>
      <c r="M71" s="16">
        <f>IF(AND(J71&lt;&gt;0,K71&lt;&gt;0),(K71-J71)/J71,"")</f>
        <v>0.11627906976744186</v>
      </c>
      <c r="N71"/>
    </row>
    <row r="72" spans="1:14" hidden="1" x14ac:dyDescent="0.2">
      <c r="A72" t="s">
        <v>45</v>
      </c>
      <c r="B72" s="17">
        <v>29117</v>
      </c>
      <c r="C72" s="17">
        <v>29142</v>
      </c>
      <c r="D72" s="10">
        <f>(B72+C72)/($B$173+$C$173)</f>
        <v>2.3645878825170101E-2</v>
      </c>
      <c r="E72" s="10">
        <f>IF(AND(B72&lt;&gt;0,C72&lt;&gt;0),(C72-B72)/B72,"")</f>
        <v>8.5860493869560736E-4</v>
      </c>
      <c r="F72" s="18">
        <v>62</v>
      </c>
      <c r="G72" s="18">
        <v>68</v>
      </c>
      <c r="H72" s="13">
        <f>(F72+G72)/($F$173+$G$173)</f>
        <v>9.6739218600123974E-5</v>
      </c>
      <c r="I72" s="13">
        <f>IF(AND(F72&lt;&gt;0,G72&lt;&gt;0),(G72-F72)/F72,"")</f>
        <v>9.6774193548387094E-2</v>
      </c>
      <c r="J72" s="19">
        <v>22</v>
      </c>
      <c r="K72" s="19">
        <v>28</v>
      </c>
      <c r="L72" s="16">
        <f>(J72+K72)/($J$173+$K$173)</f>
        <v>5.6668461167936982E-5</v>
      </c>
      <c r="M72" s="16">
        <f>IF(AND(J72&lt;&gt;0,K72&lt;&gt;0),(K72-J72)/J72,"")</f>
        <v>0.27272727272727271</v>
      </c>
      <c r="N72"/>
    </row>
    <row r="73" spans="1:14" hidden="1" x14ac:dyDescent="0.2">
      <c r="A73" t="s">
        <v>69</v>
      </c>
      <c r="B73" s="9">
        <v>9844</v>
      </c>
      <c r="C73" s="9">
        <v>9780</v>
      </c>
      <c r="D73" s="10">
        <f>(B73+C73)/($B$173+$C$173)</f>
        <v>7.9648934253100483E-3</v>
      </c>
      <c r="E73" s="10">
        <f>IF(AND(B73&lt;&gt;0,C73&lt;&gt;0),(C73-B73)/B73,"")</f>
        <v>-6.5014221861032099E-3</v>
      </c>
      <c r="F73" s="12">
        <v>36</v>
      </c>
      <c r="G73" s="12">
        <v>39</v>
      </c>
      <c r="H73" s="13">
        <f>(F73+G73)/($F$173+$G$173)</f>
        <v>5.5811087653917678E-5</v>
      </c>
      <c r="I73" s="13">
        <f>IF(AND(F73&lt;&gt;0,G73&lt;&gt;0),(G73-F73)/F73,"")</f>
        <v>8.3333333333333329E-2</v>
      </c>
      <c r="J73" s="15">
        <v>18</v>
      </c>
      <c r="K73" s="15">
        <v>24</v>
      </c>
      <c r="L73" s="16">
        <f>(J73+K73)/($J$173+$K$173)</f>
        <v>4.7601507381067066E-5</v>
      </c>
      <c r="M73" s="16">
        <f>IF(AND(J73&lt;&gt;0,K73&lt;&gt;0),(K73-J73)/J73,"")</f>
        <v>0.33333333333333331</v>
      </c>
      <c r="N73"/>
    </row>
    <row r="74" spans="1:14" hidden="1" x14ac:dyDescent="0.2">
      <c r="A74" t="s">
        <v>101</v>
      </c>
      <c r="B74" s="17">
        <v>25595</v>
      </c>
      <c r="C74" s="17">
        <v>25708</v>
      </c>
      <c r="D74" s="10">
        <f>(B74+C74)/($B$173+$C$173)</f>
        <v>2.082261146548519E-2</v>
      </c>
      <c r="E74" s="10">
        <f>IF(AND(B74&lt;&gt;0,C74&lt;&gt;0),(C74-B74)/B74,"")</f>
        <v>4.4149247899980468E-3</v>
      </c>
      <c r="F74" s="18">
        <v>58</v>
      </c>
      <c r="G74" s="18">
        <v>59</v>
      </c>
      <c r="H74" s="13">
        <f>(F74+G74)/($F$173+$G$173)</f>
        <v>8.7065296740111576E-5</v>
      </c>
      <c r="I74" s="13">
        <f>IF(AND(F74&lt;&gt;0,G74&lt;&gt;0),(G74-F74)/F74,"")</f>
        <v>1.7241379310344827E-2</v>
      </c>
      <c r="J74" s="19">
        <v>36</v>
      </c>
      <c r="K74" s="19">
        <v>33</v>
      </c>
      <c r="L74" s="16">
        <f>(J74+K74)/($J$173+$K$173)</f>
        <v>7.8202476411753032E-5</v>
      </c>
      <c r="M74" s="16">
        <f>IF(AND(J74&lt;&gt;0,K74&lt;&gt;0),(K74-J74)/J74,"")</f>
        <v>-8.3333333333333329E-2</v>
      </c>
      <c r="N74"/>
    </row>
    <row r="75" spans="1:14" hidden="1" x14ac:dyDescent="0.2">
      <c r="A75" t="s">
        <v>129</v>
      </c>
      <c r="B75" s="9">
        <v>3113</v>
      </c>
      <c r="C75" s="9">
        <v>3192</v>
      </c>
      <c r="D75" s="10">
        <f>(B75+C75)/($B$173+$C$173)</f>
        <v>2.5590426542284883E-3</v>
      </c>
      <c r="E75" s="10">
        <f>IF(AND(B75&lt;&gt;0,C75&lt;&gt;0),(C75-B75)/B75,"")</f>
        <v>2.5377449405717956E-2</v>
      </c>
      <c r="F75" s="12">
        <v>10</v>
      </c>
      <c r="G75" s="12">
        <v>10</v>
      </c>
      <c r="H75" s="13">
        <f>(F75+G75)/($F$173+$G$173)</f>
        <v>1.488295670771138E-5</v>
      </c>
      <c r="I75" s="13">
        <f>IF(AND(F75&lt;&gt;0,G75&lt;&gt;0),(G75-F75)/F75,"")</f>
        <v>0</v>
      </c>
      <c r="J75" s="15">
        <v>5</v>
      </c>
      <c r="K75" s="15">
        <v>3</v>
      </c>
      <c r="L75" s="16">
        <f>(J75+K75)/($J$173+$K$173)</f>
        <v>9.0669537868699177E-6</v>
      </c>
      <c r="M75" s="16">
        <f>IF(AND(J75&lt;&gt;0,K75&lt;&gt;0),(K75-J75)/J75,"")</f>
        <v>-0.4</v>
      </c>
      <c r="N75"/>
    </row>
    <row r="76" spans="1:14" hidden="1" x14ac:dyDescent="0.2">
      <c r="A76" t="s">
        <v>166</v>
      </c>
      <c r="B76" s="9">
        <v>856</v>
      </c>
      <c r="C76" s="9">
        <v>936</v>
      </c>
      <c r="D76" s="10">
        <f>(B76+C76)/($B$173+$C$173)</f>
        <v>7.2732822147144347E-4</v>
      </c>
      <c r="E76" s="10">
        <f>IF(AND(B76&lt;&gt;0,C76&lt;&gt;0),(C76-B76)/B76,"")</f>
        <v>9.3457943925233641E-2</v>
      </c>
      <c r="F76" s="12">
        <v>21</v>
      </c>
      <c r="G76" s="12">
        <v>21</v>
      </c>
      <c r="H76" s="13">
        <f>(F76+G76)/($F$173+$G$173)</f>
        <v>3.1254209086193898E-5</v>
      </c>
      <c r="I76" s="13">
        <f>IF(AND(F76&lt;&gt;0,G76&lt;&gt;0),(G76-F76)/F76,"")</f>
        <v>0</v>
      </c>
      <c r="J76" s="15">
        <v>18</v>
      </c>
      <c r="K76" s="15">
        <v>17</v>
      </c>
      <c r="L76" s="16">
        <f>(J76+K76)/($J$173+$K$173)</f>
        <v>3.9667922817555889E-5</v>
      </c>
      <c r="M76" s="16">
        <f>IF(AND(J76&lt;&gt;0,K76&lt;&gt;0),(K76-J76)/J76,"")</f>
        <v>-5.5555555555555552E-2</v>
      </c>
      <c r="N76"/>
    </row>
    <row r="77" spans="1:14" x14ac:dyDescent="0.2">
      <c r="A77" t="s">
        <v>116</v>
      </c>
      <c r="B77" s="17">
        <v>42686</v>
      </c>
      <c r="C77" s="17">
        <v>42438</v>
      </c>
      <c r="D77" s="10">
        <f>(B77+C77)/($B$173+$C$173)</f>
        <v>3.4549714020387916E-2</v>
      </c>
      <c r="E77" s="10">
        <f>IF(AND(B77&lt;&gt;0,C77&lt;&gt;0),(C77-B77)/B77,"")</f>
        <v>-5.8098674038326381E-3</v>
      </c>
      <c r="F77" s="18">
        <v>10890</v>
      </c>
      <c r="G77" s="18">
        <v>10816</v>
      </c>
      <c r="H77" s="13">
        <f>(F77+G77)/($F$173+$G$173)</f>
        <v>1.6152472914879163E-2</v>
      </c>
      <c r="I77" s="13">
        <f>IF(AND(F77&lt;&gt;0,G77&lt;&gt;0),(G77-F77)/F77,"")</f>
        <v>-6.7952249770431589E-3</v>
      </c>
      <c r="J77" s="19">
        <v>4152</v>
      </c>
      <c r="K77" s="19">
        <v>4346</v>
      </c>
      <c r="L77" s="16">
        <f>(J77+K77)/($J$173+$K$173)</f>
        <v>9.6313716601025695E-3</v>
      </c>
      <c r="M77" s="16">
        <f>IF(AND(J77&lt;&gt;0,K77&lt;&gt;0),(K77-J77)/J77,"")</f>
        <v>4.6724470134874761E-2</v>
      </c>
      <c r="N77"/>
    </row>
    <row r="78" spans="1:14" x14ac:dyDescent="0.2">
      <c r="A78" t="s">
        <v>142</v>
      </c>
      <c r="B78" s="9">
        <v>7737</v>
      </c>
      <c r="C78" s="9">
        <v>7165</v>
      </c>
      <c r="D78" s="10">
        <f>(B78+C78)/($B$173+$C$173)</f>
        <v>6.0483510917229075E-3</v>
      </c>
      <c r="E78" s="10">
        <f>IF(AND(B78&lt;&gt;0,C78&lt;&gt;0),(C78-B78)/B78,"")</f>
        <v>-7.3930464004135971E-2</v>
      </c>
      <c r="F78" s="12">
        <v>3540</v>
      </c>
      <c r="G78" s="12">
        <v>3423</v>
      </c>
      <c r="H78" s="13">
        <f>(F78+G78)/($F$173+$G$173)</f>
        <v>5.1815013777897169E-3</v>
      </c>
      <c r="I78" s="13">
        <f>IF(AND(F78&lt;&gt;0,G78&lt;&gt;0),(G78-F78)/F78,"")</f>
        <v>-3.3050847457627118E-2</v>
      </c>
      <c r="J78" s="15">
        <v>1546</v>
      </c>
      <c r="K78" s="15">
        <v>1568</v>
      </c>
      <c r="L78" s="16">
        <f>(J78+K78)/($J$173+$K$173)</f>
        <v>3.5293117615391154E-3</v>
      </c>
      <c r="M78" s="16">
        <f>IF(AND(J78&lt;&gt;0,K78&lt;&gt;0),(K78-J78)/J78,"")</f>
        <v>1.4230271668822769E-2</v>
      </c>
      <c r="N78"/>
    </row>
    <row r="79" spans="1:14" hidden="1" x14ac:dyDescent="0.2">
      <c r="A79" t="s">
        <v>18</v>
      </c>
      <c r="B79" s="9">
        <v>164</v>
      </c>
      <c r="C79" s="9">
        <v>160</v>
      </c>
      <c r="D79" s="10">
        <f>(B79+C79)/($B$173+$C$173)</f>
        <v>1.3150354004282794E-4</v>
      </c>
      <c r="E79" s="10">
        <f>IF(AND(B79&lt;&gt;0,C79&lt;&gt;0),(C79-B79)/B79,"")</f>
        <v>-2.4390243902439025E-2</v>
      </c>
      <c r="F79" s="12">
        <v>79</v>
      </c>
      <c r="G79" s="12">
        <v>76</v>
      </c>
      <c r="H79" s="13">
        <f>(F79+G79)/($F$173+$G$173)</f>
        <v>1.153429144847632E-4</v>
      </c>
      <c r="I79" s="13">
        <f>IF(AND(F79&lt;&gt;0,G79&lt;&gt;0),(G79-F79)/F79,"")</f>
        <v>-3.7974683544303799E-2</v>
      </c>
      <c r="J79" s="15">
        <v>54</v>
      </c>
      <c r="K79" s="15">
        <v>57</v>
      </c>
      <c r="L79" s="16">
        <f>(J79+K79)/($J$173+$K$173)</f>
        <v>1.2580398379282012E-4</v>
      </c>
      <c r="M79" s="16">
        <f>IF(AND(J79&lt;&gt;0,K79&lt;&gt;0),(K79-J79)/J79,"")</f>
        <v>5.5555555555555552E-2</v>
      </c>
      <c r="N79"/>
    </row>
    <row r="80" spans="1:14" hidden="1" x14ac:dyDescent="0.2">
      <c r="A80" t="s">
        <v>140</v>
      </c>
      <c r="B80" s="9">
        <v>2819</v>
      </c>
      <c r="C80" s="9">
        <v>2894</v>
      </c>
      <c r="D80" s="10">
        <f>(B80+C80)/($B$173+$C$173)</f>
        <v>2.3187645810638148E-3</v>
      </c>
      <c r="E80" s="10">
        <f>IF(AND(B80&lt;&gt;0,C80&lt;&gt;0),(C80-B80)/B80,"")</f>
        <v>2.6605179141539554E-2</v>
      </c>
      <c r="F80" s="12">
        <v>376</v>
      </c>
      <c r="G80" s="12">
        <v>361</v>
      </c>
      <c r="H80" s="13">
        <f>(F80+G80)/($F$173+$G$173)</f>
        <v>5.4843695467916441E-4</v>
      </c>
      <c r="I80" s="13">
        <f>IF(AND(F80&lt;&gt;0,G80&lt;&gt;0),(G80-F80)/F80,"")</f>
        <v>-3.9893617021276598E-2</v>
      </c>
      <c r="J80" s="15">
        <v>140</v>
      </c>
      <c r="K80" s="15">
        <v>164</v>
      </c>
      <c r="L80" s="16">
        <f>(J80+K80)/($J$173+$K$173)</f>
        <v>3.4454424390105686E-4</v>
      </c>
      <c r="M80" s="16">
        <f>IF(AND(J80&lt;&gt;0,K80&lt;&gt;0),(K80-J80)/J80,"")</f>
        <v>0.17142857142857143</v>
      </c>
      <c r="N80"/>
    </row>
    <row r="81" spans="1:14" x14ac:dyDescent="0.2">
      <c r="A81" t="s">
        <v>76</v>
      </c>
      <c r="B81" s="9">
        <v>15285</v>
      </c>
      <c r="C81" s="9">
        <v>14330</v>
      </c>
      <c r="D81" s="10">
        <f>(B81+C81)/($B$173+$C$173)</f>
        <v>1.2019991785087499E-2</v>
      </c>
      <c r="E81" s="10">
        <f>IF(AND(B81&lt;&gt;0,C81&lt;&gt;0),(C81-B81)/B81,"")</f>
        <v>-6.2479555119398102E-2</v>
      </c>
      <c r="F81" s="12">
        <v>15285</v>
      </c>
      <c r="G81" s="12">
        <v>14330</v>
      </c>
      <c r="H81" s="13">
        <f>(F81+G81)/($F$173+$G$173)</f>
        <v>2.2037938144943627E-2</v>
      </c>
      <c r="I81" s="13">
        <f>IF(AND(F81&lt;&gt;0,G81&lt;&gt;0),(G81-F81)/F81,"")</f>
        <v>-6.2479555119398102E-2</v>
      </c>
      <c r="J81" s="15">
        <v>11333</v>
      </c>
      <c r="K81" s="15">
        <v>10785</v>
      </c>
      <c r="L81" s="16">
        <f>(J81+K81)/($J$173+$K$173)</f>
        <v>2.5067860482248603E-2</v>
      </c>
      <c r="M81" s="16">
        <f>IF(AND(J81&lt;&gt;0,K81&lt;&gt;0),(K81-J81)/J81,"")</f>
        <v>-4.835436336362834E-2</v>
      </c>
      <c r="N81"/>
    </row>
    <row r="82" spans="1:14" hidden="1" x14ac:dyDescent="0.2">
      <c r="A82" t="s">
        <v>63</v>
      </c>
      <c r="B82" s="9">
        <v>5898</v>
      </c>
      <c r="C82" s="9">
        <v>5901</v>
      </c>
      <c r="D82" s="10">
        <f>(B82+C82)/($B$173+$C$173)</f>
        <v>4.7889205832263174E-3</v>
      </c>
      <c r="E82" s="10">
        <f>IF(AND(B82&lt;&gt;0,C82&lt;&gt;0),(C82-B82)/B82,"")</f>
        <v>5.0864699898270599E-4</v>
      </c>
      <c r="F82" s="12">
        <v>687</v>
      </c>
      <c r="G82" s="12">
        <v>639</v>
      </c>
      <c r="H82" s="13">
        <f>(F82+G82)/($F$173+$G$173)</f>
        <v>9.8674002972126457E-4</v>
      </c>
      <c r="I82" s="13">
        <f>IF(AND(F82&lt;&gt;0,G82&lt;&gt;0),(G82-F82)/F82,"")</f>
        <v>-6.9868995633187769E-2</v>
      </c>
      <c r="J82" s="15">
        <v>251</v>
      </c>
      <c r="K82" s="15">
        <v>224</v>
      </c>
      <c r="L82" s="16">
        <f>(J82+K82)/($J$173+$K$173)</f>
        <v>5.3835038109540138E-4</v>
      </c>
      <c r="M82" s="16">
        <f>IF(AND(J82&lt;&gt;0,K82&lt;&gt;0),(K82-J82)/J82,"")</f>
        <v>-0.10756972111553785</v>
      </c>
      <c r="N82"/>
    </row>
    <row r="83" spans="1:14" hidden="1" x14ac:dyDescent="0.2">
      <c r="A83" t="s">
        <v>136</v>
      </c>
      <c r="B83" s="9">
        <v>1724</v>
      </c>
      <c r="C83" s="9">
        <v>1516</v>
      </c>
      <c r="D83" s="10">
        <f>(B83+C83)/($B$173+$C$173)</f>
        <v>1.3150354004282795E-3</v>
      </c>
      <c r="E83" s="10">
        <f>IF(AND(B83&lt;&gt;0,C83&lt;&gt;0),(C83-B83)/B83,"")</f>
        <v>-0.12064965197215777</v>
      </c>
      <c r="F83" s="12">
        <v>1174</v>
      </c>
      <c r="G83" s="12">
        <v>1062</v>
      </c>
      <c r="H83" s="13">
        <f>(F83+G83)/($F$173+$G$173)</f>
        <v>1.6639145599221324E-3</v>
      </c>
      <c r="I83" s="13">
        <f>IF(AND(F83&lt;&gt;0,G83&lt;&gt;0),(G83-F83)/F83,"")</f>
        <v>-9.540034071550256E-2</v>
      </c>
      <c r="J83" s="15">
        <v>392</v>
      </c>
      <c r="K83" s="15">
        <v>388</v>
      </c>
      <c r="L83" s="16">
        <f>(J83+K83)/($J$173+$K$173)</f>
        <v>8.8402799421981695E-4</v>
      </c>
      <c r="M83" s="16">
        <f>IF(AND(J83&lt;&gt;0,K83&lt;&gt;0),(K83-J83)/J83,"")</f>
        <v>-1.020408163265306E-2</v>
      </c>
      <c r="N83"/>
    </row>
    <row r="84" spans="1:14" hidden="1" x14ac:dyDescent="0.2">
      <c r="A84" t="s">
        <v>12</v>
      </c>
      <c r="B84" s="9">
        <v>3388</v>
      </c>
      <c r="C84" s="9">
        <v>3212</v>
      </c>
      <c r="D84" s="10">
        <f>(B84+C84)/($B$173+$C$173)</f>
        <v>2.6787758156872361E-3</v>
      </c>
      <c r="E84" s="10">
        <f>IF(AND(B84&lt;&gt;0,C84&lt;&gt;0),(C84-B84)/B84,"")</f>
        <v>-5.1948051948051951E-2</v>
      </c>
      <c r="F84" s="12">
        <v>746</v>
      </c>
      <c r="G84" s="12">
        <v>666</v>
      </c>
      <c r="H84" s="13">
        <f>(F84+G84)/($F$173+$G$173)</f>
        <v>1.0507367435644234E-3</v>
      </c>
      <c r="I84" s="13">
        <f>IF(AND(F84&lt;&gt;0,G84&lt;&gt;0),(G84-F84)/F84,"")</f>
        <v>-0.10723860589812333</v>
      </c>
      <c r="J84" s="15">
        <v>574</v>
      </c>
      <c r="K84" s="15">
        <v>515</v>
      </c>
      <c r="L84" s="16">
        <f>(J84+K84)/($J$173+$K$173)</f>
        <v>1.2342390842376674E-3</v>
      </c>
      <c r="M84" s="16">
        <f>IF(AND(J84&lt;&gt;0,K84&lt;&gt;0),(K84-J84)/J84,"")</f>
        <v>-0.10278745644599303</v>
      </c>
      <c r="N84"/>
    </row>
    <row r="85" spans="1:14" x14ac:dyDescent="0.2">
      <c r="A85" t="s">
        <v>108</v>
      </c>
      <c r="B85" s="9">
        <v>16661</v>
      </c>
      <c r="C85" s="9">
        <v>13994</v>
      </c>
      <c r="D85" s="10">
        <f>(B85+C85)/($B$173+$C$173)</f>
        <v>1.2442101913620033E-2</v>
      </c>
      <c r="E85" s="10">
        <f>IF(AND(B85&lt;&gt;0,C85&lt;&gt;0),(C85-B85)/B85,"")</f>
        <v>-0.16007442530460356</v>
      </c>
      <c r="F85" s="12">
        <v>16661</v>
      </c>
      <c r="G85" s="12">
        <v>13994</v>
      </c>
      <c r="H85" s="13">
        <f>(F85+G85)/($F$173+$G$173)</f>
        <v>2.2811851893744618E-2</v>
      </c>
      <c r="I85" s="13">
        <f>IF(AND(F85&lt;&gt;0,G85&lt;&gt;0),(G85-F85)/F85,"")</f>
        <v>-0.16007442530460356</v>
      </c>
      <c r="J85" s="15">
        <v>11064</v>
      </c>
      <c r="K85" s="15">
        <v>9555</v>
      </c>
      <c r="L85" s="16">
        <f>(J85+K85)/($J$173+$K$173)</f>
        <v>2.3368940016433852E-2</v>
      </c>
      <c r="M85" s="16">
        <f>IF(AND(J85&lt;&gt;0,K85&lt;&gt;0),(K85-J85)/J85,"")</f>
        <v>-0.13638828633405639</v>
      </c>
      <c r="N85"/>
    </row>
    <row r="86" spans="1:14" hidden="1" x14ac:dyDescent="0.2">
      <c r="A86" t="s">
        <v>81</v>
      </c>
      <c r="B86" s="9">
        <v>7170</v>
      </c>
      <c r="C86" s="9">
        <v>7441</v>
      </c>
      <c r="D86" s="10">
        <f>(B86+C86)/($B$173+$C$173)</f>
        <v>5.9302414307585158E-3</v>
      </c>
      <c r="E86" s="10">
        <f>IF(AND(B86&lt;&gt;0,C86&lt;&gt;0),(C86-B86)/B86,"")</f>
        <v>3.7796373779637377E-2</v>
      </c>
      <c r="F86" s="12">
        <v>23</v>
      </c>
      <c r="G86" s="12">
        <v>19</v>
      </c>
      <c r="H86" s="13">
        <f>(F86+G86)/($F$173+$G$173)</f>
        <v>3.1254209086193898E-5</v>
      </c>
      <c r="I86" s="13">
        <f>IF(AND(F86&lt;&gt;0,G86&lt;&gt;0),(G86-F86)/F86,"")</f>
        <v>-0.17391304347826086</v>
      </c>
      <c r="J86" s="15">
        <v>14</v>
      </c>
      <c r="K86" s="15">
        <v>12</v>
      </c>
      <c r="L86" s="16">
        <f>(J86+K86)/($J$173+$K$173)</f>
        <v>2.946759980732723E-5</v>
      </c>
      <c r="M86" s="16">
        <f>IF(AND(J86&lt;&gt;0,K86&lt;&gt;0),(K86-J86)/J86,"")</f>
        <v>-0.14285714285714285</v>
      </c>
      <c r="N86"/>
    </row>
    <row r="87" spans="1:14" x14ac:dyDescent="0.2">
      <c r="A87" t="s">
        <v>22</v>
      </c>
      <c r="B87" s="17">
        <v>76557</v>
      </c>
      <c r="C87" s="17">
        <v>63185</v>
      </c>
      <c r="D87" s="10">
        <f>(B87+C87)/($B$173+$C$173)</f>
        <v>5.6717801520570564E-2</v>
      </c>
      <c r="E87" s="10">
        <f>IF(AND(B87&lt;&gt;0,C87&lt;&gt;0),(C87-B87)/B87,"")</f>
        <v>-0.17466724140183132</v>
      </c>
      <c r="F87" s="18">
        <v>76557</v>
      </c>
      <c r="G87" s="18">
        <v>63185</v>
      </c>
      <c r="H87" s="13">
        <f>(F87+G87)/($F$173+$G$173)</f>
        <v>0.10398870681245019</v>
      </c>
      <c r="I87" s="13">
        <f>IF(AND(F87&lt;&gt;0,G87&lt;&gt;0),(G87-F87)/F87,"")</f>
        <v>-0.17466724140183132</v>
      </c>
      <c r="J87" s="19">
        <v>58153</v>
      </c>
      <c r="K87" s="19">
        <v>49322</v>
      </c>
      <c r="L87" s="16">
        <f>(J87+K87)/($J$173+$K$173)</f>
        <v>0.12180885728048055</v>
      </c>
      <c r="M87" s="16">
        <f>IF(AND(J87&lt;&gt;0,K87&lt;&gt;0),(K87-J87)/J87,"")</f>
        <v>-0.15185802968032602</v>
      </c>
      <c r="N87"/>
    </row>
    <row r="88" spans="1:14" hidden="1" x14ac:dyDescent="0.2">
      <c r="A88" t="s">
        <v>127</v>
      </c>
      <c r="B88" s="9">
        <v>4209</v>
      </c>
      <c r="C88" s="9">
        <v>3551</v>
      </c>
      <c r="D88" s="10">
        <f>(B88+C88)/($B$173+$C$173)</f>
        <v>3.149590959050447E-3</v>
      </c>
      <c r="E88" s="10">
        <f>IF(AND(B88&lt;&gt;0,C88&lt;&gt;0),(C88-B88)/B88,"")</f>
        <v>-0.15633167023045855</v>
      </c>
      <c r="F88" s="12">
        <v>3693</v>
      </c>
      <c r="G88" s="12">
        <v>2981</v>
      </c>
      <c r="H88" s="13">
        <f>(F88+G88)/($F$173+$G$173)</f>
        <v>4.9664426533632877E-3</v>
      </c>
      <c r="I88" s="13">
        <f>IF(AND(F88&lt;&gt;0,G88&lt;&gt;0),(G88-F88)/F88,"")</f>
        <v>-0.19279718386135933</v>
      </c>
      <c r="J88" s="15">
        <v>2482</v>
      </c>
      <c r="K88" s="15">
        <v>2119</v>
      </c>
      <c r="L88" s="16">
        <f>(J88+K88)/($J$173+$K$173)</f>
        <v>5.2146317966735613E-3</v>
      </c>
      <c r="M88" s="16">
        <f>IF(AND(J88&lt;&gt;0,K88&lt;&gt;0),(K88-J88)/J88,"")</f>
        <v>-0.14625302175664787</v>
      </c>
      <c r="N88"/>
    </row>
    <row r="89" spans="1:14" hidden="1" x14ac:dyDescent="0.2">
      <c r="A89" t="s">
        <v>40</v>
      </c>
      <c r="B89" s="9">
        <v>3126</v>
      </c>
      <c r="C89" s="9">
        <v>2314</v>
      </c>
      <c r="D89" s="10">
        <f>(B89+C89)/($B$173+$C$173)</f>
        <v>2.2079606723240247E-3</v>
      </c>
      <c r="E89" s="10">
        <f>IF(AND(B89&lt;&gt;0,C89&lt;&gt;0),(C89-B89)/B89,"")</f>
        <v>-0.25975687779910428</v>
      </c>
      <c r="F89" s="12">
        <v>2050</v>
      </c>
      <c r="G89" s="12">
        <v>1632</v>
      </c>
      <c r="H89" s="13">
        <f>(F89+G89)/($F$173+$G$173)</f>
        <v>2.739952329889665E-3</v>
      </c>
      <c r="I89" s="13">
        <f>IF(AND(F89&lt;&gt;0,G89&lt;&gt;0),(G89-F89)/F89,"")</f>
        <v>-0.20390243902439023</v>
      </c>
      <c r="J89" s="15">
        <v>360</v>
      </c>
      <c r="K89" s="15">
        <v>283</v>
      </c>
      <c r="L89" s="16">
        <f>(J89+K89)/($J$173+$K$173)</f>
        <v>7.2875641061966967E-4</v>
      </c>
      <c r="M89" s="16">
        <f>IF(AND(J89&lt;&gt;0,K89&lt;&gt;0),(K89-J89)/J89,"")</f>
        <v>-0.21388888888888888</v>
      </c>
      <c r="N89"/>
    </row>
    <row r="90" spans="1:14" x14ac:dyDescent="0.2">
      <c r="A90" t="s">
        <v>39</v>
      </c>
      <c r="B90" s="9">
        <v>17310</v>
      </c>
      <c r="C90" s="9">
        <v>13398</v>
      </c>
      <c r="D90" s="10">
        <f>(B90+C90)/($B$173+$C$173)</f>
        <v>1.2463613295170248E-2</v>
      </c>
      <c r="E90" s="10">
        <f>IF(AND(B90&lt;&gt;0,C90&lt;&gt;0),(C90-B90)/B90,"")</f>
        <v>-0.22599653379549395</v>
      </c>
      <c r="F90" s="12">
        <v>17310</v>
      </c>
      <c r="G90" s="12">
        <v>13398</v>
      </c>
      <c r="H90" s="13">
        <f>(F90+G90)/($F$173+$G$173)</f>
        <v>2.2851291729020055E-2</v>
      </c>
      <c r="I90" s="13">
        <f>IF(AND(F90&lt;&gt;0,G90&lt;&gt;0),(G90-F90)/F90,"")</f>
        <v>-0.22599653379549395</v>
      </c>
      <c r="J90" s="15">
        <v>11581</v>
      </c>
      <c r="K90" s="15">
        <v>9134</v>
      </c>
      <c r="L90" s="16">
        <f>(J90+K90)/($J$173+$K$173)</f>
        <v>2.3477743461876293E-2</v>
      </c>
      <c r="M90" s="16">
        <f>IF(AND(J90&lt;&gt;0,K90&lt;&gt;0),(K90-J90)/J90,"")</f>
        <v>-0.21129436145410585</v>
      </c>
      <c r="N90"/>
    </row>
    <row r="91" spans="1:14" hidden="1" x14ac:dyDescent="0.2">
      <c r="A91" t="s">
        <v>11</v>
      </c>
      <c r="B91" s="17">
        <v>252052</v>
      </c>
      <c r="C91" s="17">
        <v>250430</v>
      </c>
      <c r="D91" s="10">
        <f>(B91+C91)/($B$173+$C$173)</f>
        <v>0.20394494385123541</v>
      </c>
      <c r="E91" s="10">
        <f>IF(AND(B91&lt;&gt;0,C91&lt;&gt;0),(C91-B91)/B91,"")</f>
        <v>-6.4351800422135117E-3</v>
      </c>
      <c r="F91" s="18">
        <v>38</v>
      </c>
      <c r="G91" s="18">
        <v>29</v>
      </c>
      <c r="H91" s="13">
        <f>(F91+G91)/($F$173+$G$173)</f>
        <v>4.9857904970833128E-5</v>
      </c>
      <c r="I91" s="13">
        <f>IF(AND(F91&lt;&gt;0,G91&lt;&gt;0),(G91-F91)/F91,"")</f>
        <v>-0.23684210526315788</v>
      </c>
      <c r="J91" s="19">
        <v>9</v>
      </c>
      <c r="K91" s="19">
        <v>7</v>
      </c>
      <c r="L91" s="16">
        <f>(J91+K91)/($J$173+$K$173)</f>
        <v>1.8133907573739835E-5</v>
      </c>
      <c r="M91" s="16">
        <f>IF(AND(J91&lt;&gt;0,K91&lt;&gt;0),(K91-J91)/J91,"")</f>
        <v>-0.22222222222222221</v>
      </c>
      <c r="N91"/>
    </row>
    <row r="92" spans="1:14" x14ac:dyDescent="0.2">
      <c r="A92" t="s">
        <v>38</v>
      </c>
      <c r="B92" s="9">
        <v>19631</v>
      </c>
      <c r="C92" s="9">
        <v>13489</v>
      </c>
      <c r="D92" s="10">
        <f>(B92+C92)/($B$173+$C$173)</f>
        <v>1.3442584093266857E-2</v>
      </c>
      <c r="E92" s="10">
        <f>IF(AND(B92&lt;&gt;0,C92&lt;&gt;0),(C92-B92)/B92,"")</f>
        <v>-0.31287249758035762</v>
      </c>
      <c r="F92" s="12">
        <v>19631</v>
      </c>
      <c r="G92" s="12">
        <v>13489</v>
      </c>
      <c r="H92" s="13">
        <f>(F92+G92)/($F$173+$G$173)</f>
        <v>2.4646176307970048E-2</v>
      </c>
      <c r="I92" s="13">
        <f>IF(AND(F92&lt;&gt;0,G92&lt;&gt;0),(G92-F92)/F92,"")</f>
        <v>-0.31287249758035762</v>
      </c>
      <c r="J92" s="15">
        <v>10728</v>
      </c>
      <c r="K92" s="15">
        <v>7440</v>
      </c>
      <c r="L92" s="16">
        <f>(J92+K92)/($J$173+$K$173)</f>
        <v>2.0591052049981583E-2</v>
      </c>
      <c r="M92" s="16">
        <f>IF(AND(J92&lt;&gt;0,K92&lt;&gt;0),(K92-J92)/J92,"")</f>
        <v>-0.30648769574944074</v>
      </c>
      <c r="N92"/>
    </row>
    <row r="93" spans="1:14" x14ac:dyDescent="0.2">
      <c r="A93" t="s">
        <v>95</v>
      </c>
      <c r="B93" s="9">
        <v>6773</v>
      </c>
      <c r="C93" s="9">
        <v>4617</v>
      </c>
      <c r="D93" s="10">
        <f>(B93+C93)/($B$173+$C$173)</f>
        <v>4.6229176576784272E-3</v>
      </c>
      <c r="E93" s="10">
        <f>IF(AND(B93&lt;&gt;0,C93&lt;&gt;0),(C93-B93)/B93,"")</f>
        <v>-0.31832275210394212</v>
      </c>
      <c r="F93" s="12">
        <v>6773</v>
      </c>
      <c r="G93" s="12">
        <v>4617</v>
      </c>
      <c r="H93" s="13">
        <f>(F93+G93)/($F$173+$G$173)</f>
        <v>8.4758438450416307E-3</v>
      </c>
      <c r="I93" s="13">
        <f>IF(AND(F93&lt;&gt;0,G93&lt;&gt;0),(G93-F93)/F93,"")</f>
        <v>-0.31832275210394212</v>
      </c>
      <c r="J93" s="15">
        <v>3825</v>
      </c>
      <c r="K93" s="15">
        <v>2607</v>
      </c>
      <c r="L93" s="16">
        <f>(J93+K93)/($J$173+$K$173)</f>
        <v>7.289830844643414E-3</v>
      </c>
      <c r="M93" s="16">
        <f>IF(AND(J93&lt;&gt;0,K93&lt;&gt;0),(K93-J93)/J93,"")</f>
        <v>-0.3184313725490196</v>
      </c>
      <c r="N93"/>
    </row>
    <row r="94" spans="1:14" x14ac:dyDescent="0.2">
      <c r="A94" t="s">
        <v>16</v>
      </c>
      <c r="B94" s="17">
        <v>24318</v>
      </c>
      <c r="C94" s="17">
        <v>16460</v>
      </c>
      <c r="D94" s="10">
        <f>(B94+C94)/($B$173+$C$173)</f>
        <v>1.6550775789711227E-2</v>
      </c>
      <c r="E94" s="10">
        <f>IF(AND(B94&lt;&gt;0,C94&lt;&gt;0),(C94-B94)/B94,"")</f>
        <v>-0.32313512624393453</v>
      </c>
      <c r="F94" s="18">
        <v>24318</v>
      </c>
      <c r="G94" s="18">
        <v>16460</v>
      </c>
      <c r="H94" s="13">
        <f>(F94+G94)/($F$173+$G$173)</f>
        <v>3.0344860431352733E-2</v>
      </c>
      <c r="I94" s="13">
        <f>IF(AND(F94&lt;&gt;0,G94&lt;&gt;0),(G94-F94)/F94,"")</f>
        <v>-0.32313512624393453</v>
      </c>
      <c r="J94" s="19">
        <v>16652</v>
      </c>
      <c r="K94" s="19">
        <v>11649</v>
      </c>
      <c r="L94" s="16">
        <f>(J94+K94)/($J$173+$K$173)</f>
        <v>3.2075482390275689E-2</v>
      </c>
      <c r="M94" s="16">
        <f>IF(AND(J94&lt;&gt;0,K94&lt;&gt;0),(K94-J94)/J94,"")</f>
        <v>-0.30044439106413645</v>
      </c>
      <c r="N94"/>
    </row>
    <row r="95" spans="1:14" x14ac:dyDescent="0.2">
      <c r="A95" t="s">
        <v>34</v>
      </c>
      <c r="B95" s="17">
        <v>31959</v>
      </c>
      <c r="C95" s="17">
        <v>22516</v>
      </c>
      <c r="D95" s="10">
        <f>(B95+C95)/($B$173+$C$173)</f>
        <v>2.2110047357509419E-2</v>
      </c>
      <c r="E95" s="10">
        <f>IF(AND(B95&lt;&gt;0,C95&lt;&gt;0),(C95-B95)/B95,"")</f>
        <v>-0.2954723239150161</v>
      </c>
      <c r="F95" s="18">
        <v>22387</v>
      </c>
      <c r="G95" s="18">
        <v>14962</v>
      </c>
      <c r="H95" s="13">
        <f>(F95+G95)/($F$173+$G$173)</f>
        <v>2.7793177503815616E-2</v>
      </c>
      <c r="I95" s="13">
        <f>IF(AND(F95&lt;&gt;0,G95&lt;&gt;0),(G95-F95)/F95,"")</f>
        <v>-0.33166569884307856</v>
      </c>
      <c r="J95" s="19">
        <v>11861</v>
      </c>
      <c r="K95" s="19">
        <v>7992</v>
      </c>
      <c r="L95" s="16">
        <f>(J95+K95)/($J$173+$K$173)</f>
        <v>2.250077919134106E-2</v>
      </c>
      <c r="M95" s="16">
        <f>IF(AND(J95&lt;&gt;0,K95&lt;&gt;0),(K95-J95)/J95,"")</f>
        <v>-0.3261950931624652</v>
      </c>
      <c r="N95"/>
    </row>
    <row r="96" spans="1:14" x14ac:dyDescent="0.2">
      <c r="A96" t="s">
        <v>93</v>
      </c>
      <c r="B96" s="17">
        <v>76351</v>
      </c>
      <c r="C96" s="17">
        <v>47703</v>
      </c>
      <c r="D96" s="10">
        <f>(B96+C96)/($B$173+$C$173)</f>
        <v>5.0350432581706718E-2</v>
      </c>
      <c r="E96" s="10">
        <f>IF(AND(B96&lt;&gt;0,C96&lt;&gt;0),(C96-B96)/B96,"")</f>
        <v>-0.37521447001349034</v>
      </c>
      <c r="F96" s="18">
        <v>76351</v>
      </c>
      <c r="G96" s="18">
        <v>47703</v>
      </c>
      <c r="H96" s="13">
        <f>(F96+G96)/($F$173+$G$173)</f>
        <v>9.2314515570921379E-2</v>
      </c>
      <c r="I96" s="13">
        <f>IF(AND(F96&lt;&gt;0,G96&lt;&gt;0),(G96-F96)/F96,"")</f>
        <v>-0.37521447001349034</v>
      </c>
      <c r="J96" s="19">
        <v>59727</v>
      </c>
      <c r="K96" s="19">
        <v>37730</v>
      </c>
      <c r="L96" s="16">
        <f>(J96+K96)/($J$173+$K$173)</f>
        <v>0.11045476440087269</v>
      </c>
      <c r="M96" s="16">
        <f>IF(AND(J96&lt;&gt;0,K96&lt;&gt;0),(K96-J96)/J96,"")</f>
        <v>-0.36829239707335043</v>
      </c>
      <c r="N96"/>
    </row>
    <row r="97" spans="1:14" hidden="1" x14ac:dyDescent="0.2">
      <c r="A97" t="s">
        <v>90</v>
      </c>
      <c r="B97" s="9">
        <v>5173</v>
      </c>
      <c r="C97" s="9">
        <v>3550</v>
      </c>
      <c r="D97" s="10">
        <f>(B97+C97)/($B$173+$C$173)</f>
        <v>3.5404487030666299E-3</v>
      </c>
      <c r="E97" s="10">
        <f>IF(AND(B97&lt;&gt;0,C97&lt;&gt;0),(C97-B97)/B97,"")</f>
        <v>-0.31374444229653975</v>
      </c>
      <c r="F97" s="12">
        <v>3696</v>
      </c>
      <c r="G97" s="12">
        <v>1982</v>
      </c>
      <c r="H97" s="13">
        <f>(F97+G97)/($F$173+$G$173)</f>
        <v>4.2252714093192608E-3</v>
      </c>
      <c r="I97" s="13">
        <f>IF(AND(F97&lt;&gt;0,G97&lt;&gt;0),(G97-F97)/F97,"")</f>
        <v>-0.46374458874458874</v>
      </c>
      <c r="J97" s="15">
        <v>1700</v>
      </c>
      <c r="K97" s="15">
        <v>865</v>
      </c>
      <c r="L97" s="16">
        <f>(J97+K97)/($J$173+$K$173)</f>
        <v>2.9070920579151675E-3</v>
      </c>
      <c r="M97" s="16">
        <f>IF(AND(J97&lt;&gt;0,K97&lt;&gt;0),(K97-J97)/J97,"")</f>
        <v>-0.49117647058823527</v>
      </c>
      <c r="N97"/>
    </row>
    <row r="98" spans="1:14" x14ac:dyDescent="0.2">
      <c r="A98" t="s">
        <v>82</v>
      </c>
      <c r="B98" s="17">
        <v>105455</v>
      </c>
      <c r="C98" s="17">
        <v>52053</v>
      </c>
      <c r="D98" s="10">
        <f>(B98+C98)/($B$173+$C$173)</f>
        <v>6.39285789662523E-2</v>
      </c>
      <c r="E98" s="10">
        <f>IF(AND(B98&lt;&gt;0,C98&lt;&gt;0),(C98-B98)/B98,"")</f>
        <v>-0.50639609312028833</v>
      </c>
      <c r="F98" s="18">
        <v>105455</v>
      </c>
      <c r="G98" s="18">
        <v>52053</v>
      </c>
      <c r="H98" s="13">
        <f>(F98+G98)/($F$173+$G$173)</f>
        <v>0.1172092372559102</v>
      </c>
      <c r="I98" s="13">
        <f>IF(AND(F98&lt;&gt;0,G98&lt;&gt;0),(G98-F98)/F98,"")</f>
        <v>-0.50639609312028833</v>
      </c>
      <c r="J98" s="19">
        <v>63409</v>
      </c>
      <c r="K98" s="19">
        <v>32033</v>
      </c>
      <c r="L98" s="16">
        <f>(J98+K98)/($J$173+$K$173)</f>
        <v>0.10817102541580484</v>
      </c>
      <c r="M98" s="16">
        <f>IF(AND(J98&lt;&gt;0,K98&lt;&gt;0),(K98-J98)/J98,"")</f>
        <v>-0.49481934741125078</v>
      </c>
      <c r="N98"/>
    </row>
    <row r="99" spans="1:14" x14ac:dyDescent="0.2">
      <c r="A99" t="s">
        <v>57</v>
      </c>
      <c r="B99" s="9">
        <v>6791</v>
      </c>
      <c r="C99" s="9">
        <v>3470</v>
      </c>
      <c r="D99" s="10">
        <f>(B99+C99)/($B$173+$C$173)</f>
        <v>4.1646846431464737E-3</v>
      </c>
      <c r="E99" s="10">
        <f>IF(AND(B99&lt;&gt;0,C99&lt;&gt;0),(C99-B99)/B99,"")</f>
        <v>-0.48902959799734941</v>
      </c>
      <c r="F99" s="12">
        <v>5363</v>
      </c>
      <c r="G99" s="12">
        <v>2471</v>
      </c>
      <c r="H99" s="13">
        <f>(F99+G99)/($F$173+$G$173)</f>
        <v>5.8296541424105478E-3</v>
      </c>
      <c r="I99" s="13">
        <f>IF(AND(F99&lt;&gt;0,G99&lt;&gt;0),(G99-F99)/F99,"")</f>
        <v>-0.53925041954130148</v>
      </c>
      <c r="J99" s="15">
        <v>3073</v>
      </c>
      <c r="K99" s="15">
        <v>1466</v>
      </c>
      <c r="L99" s="16">
        <f>(J99+K99)/($J$173+$K$173)</f>
        <v>5.1443629048253193E-3</v>
      </c>
      <c r="M99" s="16">
        <f>IF(AND(J99&lt;&gt;0,K99&lt;&gt;0),(K99-J99)/J99,"")</f>
        <v>-0.52294175073218352</v>
      </c>
      <c r="N99"/>
    </row>
    <row r="100" spans="1:14" hidden="1" x14ac:dyDescent="0.2">
      <c r="A100" t="s">
        <v>107</v>
      </c>
      <c r="B100" s="9">
        <v>705</v>
      </c>
      <c r="C100" s="9">
        <v>316</v>
      </c>
      <c r="D100" s="10">
        <f>(B100+C100)/($B$173+$C$173)</f>
        <v>4.143985011843436E-4</v>
      </c>
      <c r="E100" s="10">
        <f>IF(AND(B100&lt;&gt;0,C100&lt;&gt;0),(C100-B100)/B100,"")</f>
        <v>-0.55177304964539009</v>
      </c>
      <c r="F100" s="12">
        <v>705</v>
      </c>
      <c r="G100" s="12">
        <v>316</v>
      </c>
      <c r="H100" s="13">
        <f>(F100+G100)/($F$173+$G$173)</f>
        <v>7.5977493992866599E-4</v>
      </c>
      <c r="I100" s="13">
        <f>IF(AND(F100&lt;&gt;0,G100&lt;&gt;0),(G100-F100)/F100,"")</f>
        <v>-0.55177304964539009</v>
      </c>
      <c r="J100" s="15">
        <v>305</v>
      </c>
      <c r="K100" s="15">
        <v>155</v>
      </c>
      <c r="L100" s="16">
        <f>(J100+K100)/($J$173+$K$173)</f>
        <v>5.2134984274502031E-4</v>
      </c>
      <c r="M100" s="16">
        <f>IF(AND(J100&lt;&gt;0,K100&lt;&gt;0),(K100-J100)/J100,"")</f>
        <v>-0.49180327868852458</v>
      </c>
      <c r="N100"/>
    </row>
    <row r="101" spans="1:14" x14ac:dyDescent="0.2">
      <c r="A101" t="s">
        <v>78</v>
      </c>
      <c r="B101" s="9">
        <v>11782</v>
      </c>
      <c r="C101" s="9">
        <v>4152</v>
      </c>
      <c r="D101" s="10">
        <f>(B101+C101)/($B$173+$C$173)</f>
        <v>6.4672142192667295E-3</v>
      </c>
      <c r="E101" s="10">
        <f>IF(AND(B101&lt;&gt;0,C101&lt;&gt;0),(C101-B101)/B101,"")</f>
        <v>-0.64759803089458501</v>
      </c>
      <c r="F101" s="12">
        <v>11782</v>
      </c>
      <c r="G101" s="12">
        <v>4152</v>
      </c>
      <c r="H101" s="13">
        <f>(F101+G101)/($F$173+$G$173)</f>
        <v>1.1857251609033658E-2</v>
      </c>
      <c r="I101" s="13">
        <f>IF(AND(F101&lt;&gt;0,G101&lt;&gt;0),(G101-F101)/F101,"")</f>
        <v>-0.64759803089458501</v>
      </c>
      <c r="J101" s="15">
        <v>6219</v>
      </c>
      <c r="K101" s="15">
        <v>2263</v>
      </c>
      <c r="L101" s="16">
        <f>(J101+K101)/($J$173+$K$173)</f>
        <v>9.6132377525288294E-3</v>
      </c>
      <c r="M101" s="16">
        <f>IF(AND(J101&lt;&gt;0,K101&lt;&gt;0),(K101-J101)/J101,"")</f>
        <v>-0.63611513105000805</v>
      </c>
      <c r="N101"/>
    </row>
    <row r="102" spans="1:14" hidden="1" x14ac:dyDescent="0.2">
      <c r="A102" t="s">
        <v>110</v>
      </c>
      <c r="B102" s="9">
        <v>312</v>
      </c>
      <c r="C102" s="9">
        <v>118</v>
      </c>
      <c r="D102" s="10">
        <f>(B102+C102)/($B$173+$C$173)</f>
        <v>1.7452630314325932E-4</v>
      </c>
      <c r="E102" s="10">
        <f>IF(AND(B102&lt;&gt;0,C102&lt;&gt;0),(C102-B102)/B102,"")</f>
        <v>-0.62179487179487181</v>
      </c>
      <c r="F102" s="12">
        <v>253</v>
      </c>
      <c r="G102" s="12">
        <v>88</v>
      </c>
      <c r="H102" s="13">
        <f>(F102+G102)/($F$173+$G$173)</f>
        <v>2.5375441186647904E-4</v>
      </c>
      <c r="I102" s="13">
        <f>IF(AND(F102&lt;&gt;0,G102&lt;&gt;0),(G102-F102)/F102,"")</f>
        <v>-0.65217391304347827</v>
      </c>
      <c r="J102" s="15">
        <v>135</v>
      </c>
      <c r="K102" s="15">
        <v>48</v>
      </c>
      <c r="L102" s="16">
        <f>(J102+K102)/($J$173+$K$173)</f>
        <v>2.0740656787464936E-4</v>
      </c>
      <c r="M102" s="16">
        <f>IF(AND(J102&lt;&gt;0,K102&lt;&gt;0),(K102-J102)/J102,"")</f>
        <v>-0.64444444444444449</v>
      </c>
      <c r="N102"/>
    </row>
    <row r="103" spans="1:14" hidden="1" x14ac:dyDescent="0.2">
      <c r="A103" t="s">
        <v>37</v>
      </c>
      <c r="B103" s="9">
        <v>3561</v>
      </c>
      <c r="C103" s="9">
        <v>2008</v>
      </c>
      <c r="D103" s="10">
        <f>(B103+C103)/($B$173+$C$173)</f>
        <v>2.2603185632670024E-3</v>
      </c>
      <c r="E103" s="10">
        <f>IF(AND(B103&lt;&gt;0,C103&lt;&gt;0),(C103-B103)/B103,"")</f>
        <v>-0.43611345127773099</v>
      </c>
      <c r="F103" s="12">
        <v>1574</v>
      </c>
      <c r="G103" s="12">
        <v>487</v>
      </c>
      <c r="H103" s="13">
        <f>(F103+G103)/($F$173+$G$173)</f>
        <v>1.5336886887296578E-3</v>
      </c>
      <c r="I103" s="13">
        <f>IF(AND(F103&lt;&gt;0,G103&lt;&gt;0),(G103-F103)/F103,"")</f>
        <v>-0.69059720457433293</v>
      </c>
      <c r="J103" s="15">
        <v>341</v>
      </c>
      <c r="K103" s="15">
        <v>133</v>
      </c>
      <c r="L103" s="16">
        <f>(J103+K103)/($J$173+$K$173)</f>
        <v>5.3721701187204262E-4</v>
      </c>
      <c r="M103" s="16">
        <f>IF(AND(J103&lt;&gt;0,K103&lt;&gt;0),(K103-J103)/J103,"")</f>
        <v>-0.60997067448680353</v>
      </c>
      <c r="N103"/>
    </row>
    <row r="104" spans="1:14" hidden="1" x14ac:dyDescent="0.2">
      <c r="A104" t="s">
        <v>167</v>
      </c>
      <c r="B104" s="9">
        <v>1087</v>
      </c>
      <c r="C104" s="9">
        <v>282</v>
      </c>
      <c r="D104" s="10">
        <f>(B104+C104)/($B$173+$C$173)</f>
        <v>5.5564304419330698E-4</v>
      </c>
      <c r="E104" s="10">
        <f>IF(AND(B104&lt;&gt;0,C104&lt;&gt;0),(C104-B104)/B104,"")</f>
        <v>-0.74057037718491259</v>
      </c>
      <c r="F104" s="12">
        <v>746</v>
      </c>
      <c r="G104" s="12">
        <v>176</v>
      </c>
      <c r="H104" s="13">
        <f>(F104+G104)/($F$173+$G$173)</f>
        <v>6.8610430422549461E-4</v>
      </c>
      <c r="I104" s="13">
        <f>IF(AND(F104&lt;&gt;0,G104&lt;&gt;0),(G104-F104)/F104,"")</f>
        <v>-0.76407506702412864</v>
      </c>
      <c r="J104" s="15">
        <v>299</v>
      </c>
      <c r="K104" s="15">
        <v>74</v>
      </c>
      <c r="L104" s="16">
        <f>(J104+K104)/($J$173+$K$173)</f>
        <v>4.2274672031280988E-4</v>
      </c>
      <c r="M104" s="16">
        <f>IF(AND(J104&lt;&gt;0,K104&lt;&gt;0),(K104-J104)/J104,"")</f>
        <v>-0.75250836120401343</v>
      </c>
      <c r="N104"/>
    </row>
    <row r="105" spans="1:14" hidden="1" x14ac:dyDescent="0.2">
      <c r="A105" t="s">
        <v>19</v>
      </c>
      <c r="B105" s="9">
        <v>3622</v>
      </c>
      <c r="C105" s="9">
        <v>2007</v>
      </c>
      <c r="D105" s="10">
        <f>(B105+C105)/($B$173+$C$173)</f>
        <v>2.2846710706823409E-3</v>
      </c>
      <c r="E105" s="10">
        <f>IF(AND(B105&lt;&gt;0,C105&lt;&gt;0),(C105-B105)/B105,"")</f>
        <v>-0.44588625069022642</v>
      </c>
      <c r="F105" s="12">
        <v>1609</v>
      </c>
      <c r="G105" s="12">
        <v>347</v>
      </c>
      <c r="H105" s="13">
        <f>(F105+G105)/($F$173+$G$173)</f>
        <v>1.4555531660141729E-3</v>
      </c>
      <c r="I105" s="13">
        <f>IF(AND(F105&lt;&gt;0,G105&lt;&gt;0),(G105-F105)/F105,"")</f>
        <v>-0.78433809819763833</v>
      </c>
      <c r="J105" s="15">
        <v>903</v>
      </c>
      <c r="K105" s="15">
        <v>189</v>
      </c>
      <c r="L105" s="16">
        <f>(J105+K105)/($J$173+$K$173)</f>
        <v>1.2376391919077438E-3</v>
      </c>
      <c r="M105" s="16">
        <f>IF(AND(J105&lt;&gt;0,K105&lt;&gt;0),(K105-J105)/J105,"")</f>
        <v>-0.79069767441860461</v>
      </c>
      <c r="N105"/>
    </row>
    <row r="106" spans="1:14" hidden="1" x14ac:dyDescent="0.2">
      <c r="A106" t="s">
        <v>52</v>
      </c>
      <c r="B106" s="9">
        <v>623</v>
      </c>
      <c r="C106" s="9">
        <v>562</v>
      </c>
      <c r="D106" s="10">
        <f>(B106+C106)/($B$173+$C$173)</f>
        <v>4.8096202145293555E-4</v>
      </c>
      <c r="E106" s="10">
        <f>IF(AND(B106&lt;&gt;0,C106&lt;&gt;0),(C106-B106)/B106,"")</f>
        <v>-9.7913322632423749E-2</v>
      </c>
      <c r="F106" s="12">
        <v>0</v>
      </c>
      <c r="G106" s="12">
        <v>0</v>
      </c>
      <c r="H106" s="13">
        <f>(F106+G106)/($F$173+$G$173)</f>
        <v>0</v>
      </c>
      <c r="I106" s="13" t="str">
        <f>IF(AND(F106&lt;&gt;0,G106&lt;&gt;0),(G106-F106)/F106,"")</f>
        <v/>
      </c>
      <c r="J106" s="15">
        <v>0</v>
      </c>
      <c r="K106" s="15">
        <v>0</v>
      </c>
      <c r="L106" s="16">
        <f>(J106+K106)/($J$173+$K$173)</f>
        <v>0</v>
      </c>
      <c r="M106" s="16" t="str">
        <f>IF(AND(J106&lt;&gt;0,K106&lt;&gt;0),(K106-J106)/J106,"")</f>
        <v/>
      </c>
      <c r="N106"/>
    </row>
    <row r="107" spans="1:14" hidden="1" x14ac:dyDescent="0.2">
      <c r="A107" t="s">
        <v>154</v>
      </c>
      <c r="B107" s="9">
        <v>4975</v>
      </c>
      <c r="C107" s="9">
        <v>4851</v>
      </c>
      <c r="D107" s="10">
        <f>(B107+C107)/($B$173+$C$173)</f>
        <v>3.9881289643852701E-3</v>
      </c>
      <c r="E107" s="10">
        <f>IF(AND(B107&lt;&gt;0,C107&lt;&gt;0),(C107-B107)/B107,"")</f>
        <v>-2.4924623115577891E-2</v>
      </c>
      <c r="F107" s="12">
        <v>0</v>
      </c>
      <c r="G107" s="12">
        <v>0</v>
      </c>
      <c r="H107" s="13">
        <f>(F107+G107)/($F$173+$G$173)</f>
        <v>0</v>
      </c>
      <c r="I107" s="13" t="str">
        <f>IF(AND(F107&lt;&gt;0,G107&lt;&gt;0),(G107-F107)/F107,"")</f>
        <v/>
      </c>
      <c r="J107" s="15">
        <v>0</v>
      </c>
      <c r="K107" s="15">
        <v>0</v>
      </c>
      <c r="L107" s="16">
        <f>(J107+K107)/($J$173+$K$173)</f>
        <v>0</v>
      </c>
      <c r="M107" s="16" t="str">
        <f>IF(AND(J107&lt;&gt;0,K107&lt;&gt;0),(K107-J107)/J107,"")</f>
        <v/>
      </c>
      <c r="N107"/>
    </row>
    <row r="108" spans="1:14" hidden="1" x14ac:dyDescent="0.2">
      <c r="A108" t="s">
        <v>165</v>
      </c>
      <c r="B108" s="9">
        <v>4476</v>
      </c>
      <c r="C108" s="9">
        <v>4480</v>
      </c>
      <c r="D108" s="10">
        <f>(B108+C108)/($B$173+$C$173)</f>
        <v>3.6350176068628611E-3</v>
      </c>
      <c r="E108" s="10">
        <f>IF(AND(B108&lt;&gt;0,C108&lt;&gt;0),(C108-B108)/B108,"")</f>
        <v>8.9365504915102768E-4</v>
      </c>
      <c r="F108" s="12">
        <v>0</v>
      </c>
      <c r="G108" s="12">
        <v>0</v>
      </c>
      <c r="H108" s="13">
        <f>(F108+G108)/($F$173+$G$173)</f>
        <v>0</v>
      </c>
      <c r="I108" s="13" t="str">
        <f>IF(AND(F108&lt;&gt;0,G108&lt;&gt;0),(G108-F108)/F108,"")</f>
        <v/>
      </c>
      <c r="J108" s="15">
        <v>0</v>
      </c>
      <c r="K108" s="15">
        <v>0</v>
      </c>
      <c r="L108" s="16">
        <f>(J108+K108)/($J$173+$K$173)</f>
        <v>0</v>
      </c>
      <c r="M108" s="16" t="str">
        <f>IF(AND(J108&lt;&gt;0,K108&lt;&gt;0),(K108-J108)/J108,"")</f>
        <v/>
      </c>
      <c r="N108"/>
    </row>
    <row r="109" spans="1:14" hidden="1" x14ac:dyDescent="0.2">
      <c r="A109" t="s">
        <v>161</v>
      </c>
      <c r="B109" s="9">
        <v>834</v>
      </c>
      <c r="C109" s="9">
        <v>876</v>
      </c>
      <c r="D109" s="10">
        <f>(B109+C109)/($B$173+$C$173)</f>
        <v>6.9404646133714744E-4</v>
      </c>
      <c r="E109" s="10">
        <f>IF(AND(B109&lt;&gt;0,C109&lt;&gt;0),(C109-B109)/B109,"")</f>
        <v>5.0359712230215826E-2</v>
      </c>
      <c r="F109" s="12">
        <v>0</v>
      </c>
      <c r="G109" s="12">
        <v>0</v>
      </c>
      <c r="H109" s="13">
        <f>(F109+G109)/($F$173+$G$173)</f>
        <v>0</v>
      </c>
      <c r="I109" s="13" t="str">
        <f>IF(AND(F109&lt;&gt;0,G109&lt;&gt;0),(G109-F109)/F109,"")</f>
        <v/>
      </c>
      <c r="J109" s="15">
        <v>0</v>
      </c>
      <c r="K109" s="15">
        <v>0</v>
      </c>
      <c r="L109" s="16">
        <f>(J109+K109)/($J$173+$K$173)</f>
        <v>0</v>
      </c>
      <c r="M109" s="16" t="str">
        <f>IF(AND(J109&lt;&gt;0,K109&lt;&gt;0),(K109-J109)/J109,"")</f>
        <v/>
      </c>
      <c r="N109"/>
    </row>
    <row r="110" spans="1:14" hidden="1" x14ac:dyDescent="0.2">
      <c r="A110" t="s">
        <v>106</v>
      </c>
      <c r="B110" s="9">
        <v>312</v>
      </c>
      <c r="C110" s="9">
        <v>361</v>
      </c>
      <c r="D110" s="10">
        <f>(B110+C110)/($B$173+$C$173)</f>
        <v>2.7315395817538029E-4</v>
      </c>
      <c r="E110" s="10">
        <f>IF(AND(B110&lt;&gt;0,C110&lt;&gt;0),(C110-B110)/B110,"")</f>
        <v>0.15705128205128205</v>
      </c>
      <c r="F110" s="12">
        <v>0</v>
      </c>
      <c r="G110" s="12">
        <v>2</v>
      </c>
      <c r="H110" s="13">
        <f>(F110+G110)/($F$173+$G$173)</f>
        <v>1.4882956707711381E-6</v>
      </c>
      <c r="I110" s="13" t="str">
        <f>IF(AND(F110&lt;&gt;0,G110&lt;&gt;0),(G110-F110)/F110,"")</f>
        <v/>
      </c>
      <c r="J110" s="15">
        <v>0</v>
      </c>
      <c r="K110" s="15">
        <v>2</v>
      </c>
      <c r="L110" s="16">
        <f>(J110+K110)/($J$173+$K$173)</f>
        <v>2.2667384467174794E-6</v>
      </c>
      <c r="M110" s="16" t="str">
        <f>IF(AND(J110&lt;&gt;0,K110&lt;&gt;0),(K110-J110)/J110,"")</f>
        <v/>
      </c>
      <c r="N110"/>
    </row>
    <row r="111" spans="1:14" hidden="1" x14ac:dyDescent="0.2">
      <c r="A111" t="s">
        <v>152</v>
      </c>
      <c r="B111" s="9">
        <v>1</v>
      </c>
      <c r="C111" s="9">
        <v>3483</v>
      </c>
      <c r="D111" s="10">
        <f>(B111+C111)/($B$173+$C$173)</f>
        <v>1.4140689305839893E-3</v>
      </c>
      <c r="E111" s="10">
        <f>IF(AND(B111&lt;&gt;0,C111&lt;&gt;0),(C111-B111)/B111,"")</f>
        <v>3482</v>
      </c>
      <c r="F111" s="12">
        <v>0</v>
      </c>
      <c r="G111" s="12">
        <v>2713</v>
      </c>
      <c r="H111" s="13">
        <f>(F111+G111)/($F$173+$G$173)</f>
        <v>2.0188730774010487E-3</v>
      </c>
      <c r="I111" s="13" t="str">
        <f>IF(AND(F111&lt;&gt;0,G111&lt;&gt;0),(G111-F111)/F111,"")</f>
        <v/>
      </c>
      <c r="J111" s="15">
        <v>0</v>
      </c>
      <c r="K111" s="15">
        <v>1035</v>
      </c>
      <c r="L111" s="16">
        <f>(J111+K111)/($J$173+$K$173)</f>
        <v>1.1730371461762955E-3</v>
      </c>
      <c r="M111" s="16" t="str">
        <f>IF(AND(J111&lt;&gt;0,K111&lt;&gt;0),(K111-J111)/J111,"")</f>
        <v/>
      </c>
      <c r="N111"/>
    </row>
    <row r="112" spans="1:14" hidden="1" x14ac:dyDescent="0.2">
      <c r="A112" t="s">
        <v>157</v>
      </c>
      <c r="B112" s="9"/>
      <c r="C112" s="9">
        <v>802</v>
      </c>
      <c r="D112" s="10">
        <f>(B112+C112)/($B$173+$C$173)</f>
        <v>3.2551184911835804E-4</v>
      </c>
      <c r="E112" s="10" t="str">
        <f>IF(AND(B112&lt;&gt;0,C112&lt;&gt;0),(C112-B112)/B112,"")</f>
        <v/>
      </c>
      <c r="F112" s="12"/>
      <c r="G112" s="12">
        <v>526</v>
      </c>
      <c r="H112" s="13">
        <f>(F112+G112)/($F$173+$G$173)</f>
        <v>3.914217614128093E-4</v>
      </c>
      <c r="I112" s="13" t="str">
        <f>IF(AND(F112&lt;&gt;0,G112&lt;&gt;0),(G112-F112)/F112,"")</f>
        <v/>
      </c>
      <c r="J112" s="15"/>
      <c r="K112" s="15">
        <v>114</v>
      </c>
      <c r="L112" s="16">
        <f>(J112+K112)/($J$173+$K$173)</f>
        <v>1.2920409146289632E-4</v>
      </c>
      <c r="M112" s="16" t="str">
        <f>IF(AND(J112&lt;&gt;0,K112&lt;&gt;0),(K112-J112)/J112,"")</f>
        <v/>
      </c>
      <c r="N112"/>
    </row>
    <row r="113" spans="1:14" hidden="1" x14ac:dyDescent="0.2">
      <c r="A113" t="s">
        <v>124</v>
      </c>
      <c r="B113" s="9"/>
      <c r="C113" s="9">
        <v>1606</v>
      </c>
      <c r="D113" s="10">
        <f>(B113+C113)/($B$173+$C$173)</f>
        <v>6.5183544848389403E-4</v>
      </c>
      <c r="E113" s="10" t="str">
        <f>IF(AND(B113&lt;&gt;0,C113&lt;&gt;0),(C113-B113)/B113,"")</f>
        <v/>
      </c>
      <c r="F113" s="12"/>
      <c r="G113" s="12">
        <v>1211</v>
      </c>
      <c r="H113" s="13">
        <f>(F113+G113)/($F$173+$G$173)</f>
        <v>9.0116302865192411E-4</v>
      </c>
      <c r="I113" s="13" t="str">
        <f>IF(AND(F113&lt;&gt;0,G113&lt;&gt;0),(G113-F113)/F113,"")</f>
        <v/>
      </c>
      <c r="J113" s="15"/>
      <c r="K113" s="15">
        <v>426</v>
      </c>
      <c r="L113" s="16">
        <f>(J113+K113)/($J$173+$K$173)</f>
        <v>4.8281528915082312E-4</v>
      </c>
      <c r="M113" s="16" t="str">
        <f>IF(AND(J113&lt;&gt;0,K113&lt;&gt;0),(K113-J113)/J113,"")</f>
        <v/>
      </c>
      <c r="N113"/>
    </row>
    <row r="114" spans="1:14" hidden="1" x14ac:dyDescent="0.2">
      <c r="A114" t="s">
        <v>50</v>
      </c>
      <c r="B114" s="9"/>
      <c r="C114" s="9">
        <v>684</v>
      </c>
      <c r="D114" s="10">
        <f>(B114+C114)/($B$173+$C$173)</f>
        <v>2.7761858453485898E-4</v>
      </c>
      <c r="E114" s="10" t="str">
        <f>IF(AND(B114&lt;&gt;0,C114&lt;&gt;0),(C114-B114)/B114,"")</f>
        <v/>
      </c>
      <c r="F114" s="12"/>
      <c r="G114" s="12">
        <v>578</v>
      </c>
      <c r="H114" s="13">
        <f>(F114+G114)/($F$173+$G$173)</f>
        <v>4.3011744885285889E-4</v>
      </c>
      <c r="I114" s="13" t="str">
        <f>IF(AND(F114&lt;&gt;0,G114&lt;&gt;0),(G114-F114)/F114,"")</f>
        <v/>
      </c>
      <c r="J114" s="15"/>
      <c r="K114" s="15">
        <v>513</v>
      </c>
      <c r="L114" s="16">
        <f>(J114+K114)/($J$173+$K$173)</f>
        <v>5.8141841158303349E-4</v>
      </c>
      <c r="M114" s="16" t="str">
        <f>IF(AND(J114&lt;&gt;0,K114&lt;&gt;0),(K114-J114)/J114,"")</f>
        <v/>
      </c>
      <c r="N114"/>
    </row>
    <row r="115" spans="1:14" hidden="1" x14ac:dyDescent="0.2">
      <c r="A115" t="s">
        <v>151</v>
      </c>
      <c r="B115" s="9"/>
      <c r="C115" s="9">
        <v>60</v>
      </c>
      <c r="D115" s="10">
        <f>(B115+C115)/($B$173+$C$173)</f>
        <v>2.435250741533851E-5</v>
      </c>
      <c r="E115" s="10" t="str">
        <f>IF(AND(B115&lt;&gt;0,C115&lt;&gt;0),(C115-B115)/B115,"")</f>
        <v/>
      </c>
      <c r="F115" s="12"/>
      <c r="G115" s="12">
        <v>60</v>
      </c>
      <c r="H115" s="13">
        <f>(F115+G115)/($F$173+$G$173)</f>
        <v>4.4648870123134145E-5</v>
      </c>
      <c r="I115" s="13" t="str">
        <f>IF(AND(F115&lt;&gt;0,G115&lt;&gt;0),(G115-F115)/F115,"")</f>
        <v/>
      </c>
      <c r="J115" s="15"/>
      <c r="K115" s="15">
        <v>25</v>
      </c>
      <c r="L115" s="16">
        <f>(J115+K115)/($J$173+$K$173)</f>
        <v>2.8334230583968491E-5</v>
      </c>
      <c r="M115" s="16" t="str">
        <f>IF(AND(J115&lt;&gt;0,K115&lt;&gt;0),(K115-J115)/J115,"")</f>
        <v/>
      </c>
      <c r="N115"/>
    </row>
    <row r="116" spans="1:14" hidden="1" x14ac:dyDescent="0.2">
      <c r="A116" t="s">
        <v>94</v>
      </c>
      <c r="B116" s="9"/>
      <c r="C116" s="9">
        <v>1406</v>
      </c>
      <c r="D116" s="10">
        <f>(B116+C116)/($B$173+$C$173)</f>
        <v>5.7066042376609899E-4</v>
      </c>
      <c r="E116" s="10" t="str">
        <f>IF(AND(B116&lt;&gt;0,C116&lt;&gt;0),(C116-B116)/B116,"")</f>
        <v/>
      </c>
      <c r="F116" s="12"/>
      <c r="G116" s="12">
        <v>1406</v>
      </c>
      <c r="H116" s="13">
        <f>(F116+G116)/($F$173+$G$173)</f>
        <v>1.0462718565521101E-3</v>
      </c>
      <c r="I116" s="13" t="str">
        <f>IF(AND(F116&lt;&gt;0,G116&lt;&gt;0),(G116-F116)/F116,"")</f>
        <v/>
      </c>
      <c r="J116" s="15"/>
      <c r="K116" s="15">
        <v>954</v>
      </c>
      <c r="L116" s="16">
        <f>(J116+K116)/($J$173+$K$173)</f>
        <v>1.0812342390842376E-3</v>
      </c>
      <c r="M116" s="16" t="str">
        <f>IF(AND(J116&lt;&gt;0,K116&lt;&gt;0),(K116-J116)/J116,"")</f>
        <v/>
      </c>
      <c r="N116"/>
    </row>
    <row r="117" spans="1:14" hidden="1" x14ac:dyDescent="0.2">
      <c r="A117" t="s">
        <v>133</v>
      </c>
      <c r="B117" s="9"/>
      <c r="C117" s="9">
        <v>37</v>
      </c>
      <c r="D117" s="10">
        <f>(B117+C117)/($B$173+$C$173)</f>
        <v>1.501737957279208E-5</v>
      </c>
      <c r="E117" s="10" t="str">
        <f>IF(AND(B117&lt;&gt;0,C117&lt;&gt;0),(C117-B117)/B117,"")</f>
        <v/>
      </c>
      <c r="F117" s="12"/>
      <c r="G117" s="12">
        <v>13</v>
      </c>
      <c r="H117" s="13">
        <f>(F117+G117)/($F$173+$G$173)</f>
        <v>9.6739218600123971E-6</v>
      </c>
      <c r="I117" s="13" t="str">
        <f>IF(AND(F117&lt;&gt;0,G117&lt;&gt;0),(G117-F117)/F117,"")</f>
        <v/>
      </c>
      <c r="J117" s="15"/>
      <c r="K117" s="15">
        <v>1</v>
      </c>
      <c r="L117" s="16">
        <f>(J117+K117)/($J$173+$K$173)</f>
        <v>1.1333692233587397E-6</v>
      </c>
      <c r="M117" s="16" t="str">
        <f>IF(AND(J117&lt;&gt;0,K117&lt;&gt;0),(K117-J117)/J117,"")</f>
        <v/>
      </c>
      <c r="N117"/>
    </row>
    <row r="118" spans="1:14" hidden="1" x14ac:dyDescent="0.2">
      <c r="A118" t="s">
        <v>120</v>
      </c>
      <c r="B118" s="9"/>
      <c r="C118" s="9">
        <v>39</v>
      </c>
      <c r="D118" s="10">
        <f>(B118+C118)/($B$173+$C$173)</f>
        <v>1.5829129819970031E-5</v>
      </c>
      <c r="E118" s="10" t="str">
        <f>IF(AND(B118&lt;&gt;0,C118&lt;&gt;0),(C118-B118)/B118,"")</f>
        <v/>
      </c>
      <c r="F118" s="12"/>
      <c r="G118" s="12">
        <v>37</v>
      </c>
      <c r="H118" s="13">
        <f>(F118+G118)/($F$173+$G$173)</f>
        <v>2.7533469909266055E-5</v>
      </c>
      <c r="I118" s="13" t="str">
        <f>IF(AND(F118&lt;&gt;0,G118&lt;&gt;0),(G118-F118)/F118,"")</f>
        <v/>
      </c>
      <c r="J118" s="15"/>
      <c r="K118" s="15">
        <v>2</v>
      </c>
      <c r="L118" s="16">
        <f>(J118+K118)/($J$173+$K$173)</f>
        <v>2.2667384467174794E-6</v>
      </c>
      <c r="M118" s="16" t="str">
        <f>IF(AND(J118&lt;&gt;0,K118&lt;&gt;0),(K118-J118)/J118,"")</f>
        <v/>
      </c>
      <c r="N118"/>
    </row>
    <row r="119" spans="1:14" hidden="1" x14ac:dyDescent="0.2">
      <c r="A119" t="s">
        <v>84</v>
      </c>
      <c r="B119" s="9"/>
      <c r="C119" s="9">
        <v>2783</v>
      </c>
      <c r="D119" s="10">
        <f>(B119+C119)/($B$173+$C$173)</f>
        <v>1.1295504689481177E-3</v>
      </c>
      <c r="E119" s="10" t="str">
        <f>IF(AND(B119&lt;&gt;0,C119&lt;&gt;0),(C119-B119)/B119,"")</f>
        <v/>
      </c>
      <c r="F119" s="12"/>
      <c r="G119" s="12">
        <v>2783</v>
      </c>
      <c r="H119" s="13">
        <f>(F119+G119)/($F$173+$G$173)</f>
        <v>2.0709634258780384E-3</v>
      </c>
      <c r="I119" s="13" t="str">
        <f>IF(AND(F119&lt;&gt;0,G119&lt;&gt;0),(G119-F119)/F119,"")</f>
        <v/>
      </c>
      <c r="J119" s="15"/>
      <c r="K119" s="15">
        <v>1858</v>
      </c>
      <c r="L119" s="16">
        <f>(J119+K119)/($J$173+$K$173)</f>
        <v>2.1058000170005382E-3</v>
      </c>
      <c r="M119" s="16" t="str">
        <f>IF(AND(J119&lt;&gt;0,K119&lt;&gt;0),(K119-J119)/J119,"")</f>
        <v/>
      </c>
      <c r="N119"/>
    </row>
    <row r="120" spans="1:14" hidden="1" x14ac:dyDescent="0.2">
      <c r="A120" t="s">
        <v>130</v>
      </c>
      <c r="B120" s="9"/>
      <c r="C120" s="9">
        <v>1</v>
      </c>
      <c r="D120" s="10">
        <f>(B120+C120)/($B$173+$C$173)</f>
        <v>4.0587512358897512E-7</v>
      </c>
      <c r="E120" s="10" t="str">
        <f>IF(AND(B120&lt;&gt;0,C120&lt;&gt;0),(C120-B120)/B120,"")</f>
        <v/>
      </c>
      <c r="F120" s="12"/>
      <c r="G120" s="12">
        <v>1</v>
      </c>
      <c r="H120" s="13">
        <f>(F120+G120)/($F$173+$G$173)</f>
        <v>7.4414783538556906E-7</v>
      </c>
      <c r="I120" s="13" t="str">
        <f>IF(AND(F120&lt;&gt;0,G120&lt;&gt;0),(G120-F120)/F120,"")</f>
        <v/>
      </c>
      <c r="J120" s="15"/>
      <c r="K120" s="15">
        <v>0</v>
      </c>
      <c r="L120" s="16">
        <f>(J120+K120)/($J$173+$K$173)</f>
        <v>0</v>
      </c>
      <c r="M120" s="16" t="str">
        <f>IF(AND(J120&lt;&gt;0,K120&lt;&gt;0),(K120-J120)/J120,"")</f>
        <v/>
      </c>
      <c r="N120"/>
    </row>
    <row r="121" spans="1:14" hidden="1" x14ac:dyDescent="0.2">
      <c r="A121" t="s">
        <v>164</v>
      </c>
      <c r="B121" s="9"/>
      <c r="C121" s="9">
        <v>582</v>
      </c>
      <c r="D121" s="10">
        <f>(B121+C121)/($B$173+$C$173)</f>
        <v>2.3621932192878354E-4</v>
      </c>
      <c r="E121" s="10" t="str">
        <f>IF(AND(B121&lt;&gt;0,C121&lt;&gt;0),(C121-B121)/B121,"")</f>
        <v/>
      </c>
      <c r="F121" s="12"/>
      <c r="G121" s="12">
        <v>382</v>
      </c>
      <c r="H121" s="13">
        <f>(F121+G121)/($F$173+$G$173)</f>
        <v>2.8426447311728737E-4</v>
      </c>
      <c r="I121" s="13" t="str">
        <f>IF(AND(F121&lt;&gt;0,G121&lt;&gt;0),(G121-F121)/F121,"")</f>
        <v/>
      </c>
      <c r="J121" s="15"/>
      <c r="K121" s="15">
        <v>174</v>
      </c>
      <c r="L121" s="16">
        <f>(J121+K121)/($J$173+$K$173)</f>
        <v>1.9720624486442071E-4</v>
      </c>
      <c r="M121" s="16" t="str">
        <f>IF(AND(J121&lt;&gt;0,K121&lt;&gt;0),(K121-J121)/J121,"")</f>
        <v/>
      </c>
      <c r="N121"/>
    </row>
    <row r="122" spans="1:14" hidden="1" x14ac:dyDescent="0.2">
      <c r="A122" t="s">
        <v>61</v>
      </c>
      <c r="B122" s="9"/>
      <c r="C122" s="9">
        <v>40</v>
      </c>
      <c r="D122" s="10">
        <f>(B122+C122)/($B$173+$C$173)</f>
        <v>1.6235004943559006E-5</v>
      </c>
      <c r="E122" s="10" t="str">
        <f>IF(AND(B122&lt;&gt;0,C122&lt;&gt;0),(C122-B122)/B122,"")</f>
        <v/>
      </c>
      <c r="F122" s="12"/>
      <c r="G122" s="12">
        <v>39</v>
      </c>
      <c r="H122" s="13">
        <f>(F122+G122)/($F$173+$G$173)</f>
        <v>2.9021765580037193E-5</v>
      </c>
      <c r="I122" s="13" t="str">
        <f>IF(AND(F122&lt;&gt;0,G122&lt;&gt;0),(G122-F122)/F122,"")</f>
        <v/>
      </c>
      <c r="J122" s="15"/>
      <c r="K122" s="15">
        <v>5</v>
      </c>
      <c r="L122" s="16">
        <f>(J122+K122)/($J$173+$K$173)</f>
        <v>5.6668461167936984E-6</v>
      </c>
      <c r="M122" s="16" t="str">
        <f>IF(AND(J122&lt;&gt;0,K122&lt;&gt;0),(K122-J122)/J122,"")</f>
        <v/>
      </c>
      <c r="N122"/>
    </row>
    <row r="123" spans="1:14" hidden="1" x14ac:dyDescent="0.2">
      <c r="A123" t="s">
        <v>56</v>
      </c>
      <c r="B123" s="9"/>
      <c r="C123" s="9">
        <v>297</v>
      </c>
      <c r="D123" s="10">
        <f>(B123+C123)/($B$173+$C$173)</f>
        <v>1.2054491170592562E-4</v>
      </c>
      <c r="E123" s="10" t="str">
        <f>IF(AND(B123&lt;&gt;0,C123&lt;&gt;0),(C123-B123)/B123,"")</f>
        <v/>
      </c>
      <c r="F123" s="12"/>
      <c r="G123" s="12">
        <v>297</v>
      </c>
      <c r="H123" s="13">
        <f>(F123+G123)/($F$173+$G$173)</f>
        <v>2.2101190710951401E-4</v>
      </c>
      <c r="I123" s="13" t="str">
        <f>IF(AND(F123&lt;&gt;0,G123&lt;&gt;0),(G123-F123)/F123,"")</f>
        <v/>
      </c>
      <c r="J123" s="15"/>
      <c r="K123" s="15">
        <v>209</v>
      </c>
      <c r="L123" s="16">
        <f>(J123+K123)/($J$173+$K$173)</f>
        <v>2.368741676819766E-4</v>
      </c>
      <c r="M123" s="16" t="str">
        <f>IF(AND(J123&lt;&gt;0,K123&lt;&gt;0),(K123-J123)/J123,"")</f>
        <v/>
      </c>
      <c r="N123"/>
    </row>
    <row r="124" spans="1:14" hidden="1" x14ac:dyDescent="0.2">
      <c r="A124" t="s">
        <v>160</v>
      </c>
      <c r="B124" s="9"/>
      <c r="C124" s="9">
        <v>768</v>
      </c>
      <c r="D124" s="10">
        <f>(B124+C124)/($B$173+$C$173)</f>
        <v>3.1171209491633289E-4</v>
      </c>
      <c r="E124" s="10" t="str">
        <f>IF(AND(B124&lt;&gt;0,C124&lt;&gt;0),(C124-B124)/B124,"")</f>
        <v/>
      </c>
      <c r="F124" s="12"/>
      <c r="G124" s="12">
        <v>611</v>
      </c>
      <c r="H124" s="13">
        <f>(F124+G124)/($F$173+$G$173)</f>
        <v>4.5467432742058269E-4</v>
      </c>
      <c r="I124" s="13" t="str">
        <f>IF(AND(F124&lt;&gt;0,G124&lt;&gt;0),(G124-F124)/F124,"")</f>
        <v/>
      </c>
      <c r="J124" s="15"/>
      <c r="K124" s="15">
        <v>199</v>
      </c>
      <c r="L124" s="16">
        <f>(J124+K124)/($J$173+$K$173)</f>
        <v>2.2554047544838919E-4</v>
      </c>
      <c r="M124" s="16" t="str">
        <f>IF(AND(J124&lt;&gt;0,K124&lt;&gt;0),(K124-J124)/J124,"")</f>
        <v/>
      </c>
      <c r="N124"/>
    </row>
    <row r="125" spans="1:14" hidden="1" x14ac:dyDescent="0.2">
      <c r="A125" t="s">
        <v>25</v>
      </c>
      <c r="B125" s="9"/>
      <c r="C125" s="9">
        <v>4923</v>
      </c>
      <c r="D125" s="10">
        <f>(B125+C125)/($B$173+$C$173)</f>
        <v>1.9981232334285244E-3</v>
      </c>
      <c r="E125" s="10" t="str">
        <f>IF(AND(B125&lt;&gt;0,C125&lt;&gt;0),(C125-B125)/B125,"")</f>
        <v/>
      </c>
      <c r="F125" s="12"/>
      <c r="G125" s="12">
        <v>4923</v>
      </c>
      <c r="H125" s="13">
        <f>(F125+G125)/($F$173+$G$173)</f>
        <v>3.6634397936031564E-3</v>
      </c>
      <c r="I125" s="13" t="str">
        <f>IF(AND(F125&lt;&gt;0,G125&lt;&gt;0),(G125-F125)/F125,"")</f>
        <v/>
      </c>
      <c r="J125" s="15"/>
      <c r="K125" s="15">
        <v>3725</v>
      </c>
      <c r="L125" s="16">
        <f>(J125+K125)/($J$173+$K$173)</f>
        <v>4.2218003570113054E-3</v>
      </c>
      <c r="M125" s="16" t="str">
        <f>IF(AND(J125&lt;&gt;0,K125&lt;&gt;0),(K125-J125)/J125,"")</f>
        <v/>
      </c>
      <c r="N125"/>
    </row>
    <row r="126" spans="1:14" hidden="1" x14ac:dyDescent="0.2">
      <c r="A126" t="s">
        <v>28</v>
      </c>
      <c r="B126" s="9"/>
      <c r="C126" s="9">
        <v>1837</v>
      </c>
      <c r="D126" s="10">
        <f>(B126+C126)/($B$173+$C$173)</f>
        <v>7.4559260203294737E-4</v>
      </c>
      <c r="E126" s="10" t="str">
        <f>IF(AND(B126&lt;&gt;0,C126&lt;&gt;0),(C126-B126)/B126,"")</f>
        <v/>
      </c>
      <c r="F126" s="12"/>
      <c r="G126" s="12">
        <v>1837</v>
      </c>
      <c r="H126" s="13">
        <f>(F126+G126)/($F$173+$G$173)</f>
        <v>1.3669995736032903E-3</v>
      </c>
      <c r="I126" s="13" t="str">
        <f>IF(AND(F126&lt;&gt;0,G126&lt;&gt;0),(G126-F126)/F126,"")</f>
        <v/>
      </c>
      <c r="J126" s="15"/>
      <c r="K126" s="15">
        <v>1306</v>
      </c>
      <c r="L126" s="16">
        <f>(J126+K126)/($J$173+$K$173)</f>
        <v>1.4801802057065141E-3</v>
      </c>
      <c r="M126" s="16" t="str">
        <f>IF(AND(J126&lt;&gt;0,K126&lt;&gt;0),(K126-J126)/J126,"")</f>
        <v/>
      </c>
      <c r="N126"/>
    </row>
    <row r="127" spans="1:14" hidden="1" x14ac:dyDescent="0.2">
      <c r="A127" t="s">
        <v>174</v>
      </c>
      <c r="B127" s="9"/>
      <c r="C127" s="9">
        <v>49</v>
      </c>
      <c r="D127" s="10">
        <f>(B127+C127)/($B$173+$C$173)</f>
        <v>1.9887881055859781E-5</v>
      </c>
      <c r="E127" s="10" t="str">
        <f>IF(AND(B127&lt;&gt;0,C127&lt;&gt;0),(C127-B127)/B127,"")</f>
        <v/>
      </c>
      <c r="F127" s="12"/>
      <c r="G127" s="12">
        <v>37</v>
      </c>
      <c r="H127" s="13">
        <f>(F127+G127)/($F$173+$G$173)</f>
        <v>2.7533469909266055E-5</v>
      </c>
      <c r="I127" s="13" t="str">
        <f>IF(AND(F127&lt;&gt;0,G127&lt;&gt;0),(G127-F127)/F127,"")</f>
        <v/>
      </c>
      <c r="J127" s="15"/>
      <c r="K127" s="15">
        <v>15</v>
      </c>
      <c r="L127" s="16">
        <f>(J127+K127)/($J$173+$K$173)</f>
        <v>1.7000538350381096E-5</v>
      </c>
      <c r="M127" s="16" t="str">
        <f>IF(AND(J127&lt;&gt;0,K127&lt;&gt;0),(K127-J127)/J127,"")</f>
        <v/>
      </c>
      <c r="N127"/>
    </row>
    <row r="128" spans="1:14" hidden="1" x14ac:dyDescent="0.2">
      <c r="A128" t="s">
        <v>99</v>
      </c>
      <c r="B128" s="9"/>
      <c r="C128" s="9">
        <v>880</v>
      </c>
      <c r="D128" s="10">
        <f>(B128+C128)/($B$173+$C$173)</f>
        <v>3.5717010875829813E-4</v>
      </c>
      <c r="E128" s="10" t="str">
        <f>IF(AND(B128&lt;&gt;0,C128&lt;&gt;0),(C128-B128)/B128,"")</f>
        <v/>
      </c>
      <c r="F128" s="12"/>
      <c r="G128" s="12">
        <v>880</v>
      </c>
      <c r="H128" s="13">
        <f>(F128+G128)/($F$173+$G$173)</f>
        <v>6.5485009513930074E-4</v>
      </c>
      <c r="I128" s="13" t="str">
        <f>IF(AND(F128&lt;&gt;0,G128&lt;&gt;0),(G128-F128)/F128,"")</f>
        <v/>
      </c>
      <c r="J128" s="15"/>
      <c r="K128" s="15">
        <v>472</v>
      </c>
      <c r="L128" s="16">
        <f>(J128+K128)/($J$173+$K$173)</f>
        <v>5.349502734253251E-4</v>
      </c>
      <c r="M128" s="16" t="str">
        <f>IF(AND(J128&lt;&gt;0,K128&lt;&gt;0),(K128-J128)/J128,"")</f>
        <v/>
      </c>
      <c r="N128"/>
    </row>
    <row r="129" spans="1:14" hidden="1" x14ac:dyDescent="0.2">
      <c r="A129" t="s">
        <v>44</v>
      </c>
      <c r="B129" s="9"/>
      <c r="C129" s="9">
        <v>40</v>
      </c>
      <c r="D129" s="10">
        <f>(B129+C129)/($B$173+$C$173)</f>
        <v>1.6235004943559006E-5</v>
      </c>
      <c r="E129" s="10" t="str">
        <f>IF(AND(B129&lt;&gt;0,C129&lt;&gt;0),(C129-B129)/B129,"")</f>
        <v/>
      </c>
      <c r="F129" s="12"/>
      <c r="G129" s="12">
        <v>40</v>
      </c>
      <c r="H129" s="13">
        <f>(F129+G129)/($F$173+$G$173)</f>
        <v>2.976591341542276E-5</v>
      </c>
      <c r="I129" s="13" t="str">
        <f>IF(AND(F129&lt;&gt;0,G129&lt;&gt;0),(G129-F129)/F129,"")</f>
        <v/>
      </c>
      <c r="J129" s="15"/>
      <c r="K129" s="15">
        <v>3</v>
      </c>
      <c r="L129" s="16">
        <f>(J129+K129)/($J$173+$K$173)</f>
        <v>3.4001076700762189E-6</v>
      </c>
      <c r="M129" s="16" t="str">
        <f>IF(AND(J129&lt;&gt;0,K129&lt;&gt;0),(K129-J129)/J129,"")</f>
        <v/>
      </c>
      <c r="N129"/>
    </row>
    <row r="130" spans="1:14" hidden="1" x14ac:dyDescent="0.2">
      <c r="A130" t="s">
        <v>97</v>
      </c>
      <c r="B130" s="9"/>
      <c r="C130" s="9">
        <v>47</v>
      </c>
      <c r="D130" s="10">
        <f>(B130+C130)/($B$173+$C$173)</f>
        <v>1.907613080868183E-5</v>
      </c>
      <c r="E130" s="10" t="str">
        <f>IF(AND(B130&lt;&gt;0,C130&lt;&gt;0),(C130-B130)/B130,"")</f>
        <v/>
      </c>
      <c r="F130" s="12"/>
      <c r="G130" s="12">
        <v>40</v>
      </c>
      <c r="H130" s="13">
        <f>(F130+G130)/($F$173+$G$173)</f>
        <v>2.976591341542276E-5</v>
      </c>
      <c r="I130" s="13" t="str">
        <f>IF(AND(F130&lt;&gt;0,G130&lt;&gt;0),(G130-F130)/F130,"")</f>
        <v/>
      </c>
      <c r="J130" s="15"/>
      <c r="K130" s="15">
        <v>5</v>
      </c>
      <c r="L130" s="16">
        <f>(J130+K130)/($J$173+$K$173)</f>
        <v>5.6668461167936984E-6</v>
      </c>
      <c r="M130" s="16" t="str">
        <f>IF(AND(J130&lt;&gt;0,K130&lt;&gt;0),(K130-J130)/J130,"")</f>
        <v/>
      </c>
      <c r="N130"/>
    </row>
    <row r="131" spans="1:14" hidden="1" x14ac:dyDescent="0.2">
      <c r="A131" t="s">
        <v>156</v>
      </c>
      <c r="B131" s="9"/>
      <c r="C131" s="9">
        <v>1136</v>
      </c>
      <c r="D131" s="10">
        <f>(B131+C131)/($B$173+$C$173)</f>
        <v>4.6107414039707576E-4</v>
      </c>
      <c r="E131" s="10" t="str">
        <f>IF(AND(B131&lt;&gt;0,C131&lt;&gt;0),(C131-B131)/B131,"")</f>
        <v/>
      </c>
      <c r="F131" s="12"/>
      <c r="G131" s="12">
        <v>714</v>
      </c>
      <c r="H131" s="13">
        <f>(F131+G131)/($F$173+$G$173)</f>
        <v>5.3132155446529634E-4</v>
      </c>
      <c r="I131" s="13" t="str">
        <f>IF(AND(F131&lt;&gt;0,G131&lt;&gt;0),(G131-F131)/F131,"")</f>
        <v/>
      </c>
      <c r="J131" s="15"/>
      <c r="K131" s="15">
        <v>531</v>
      </c>
      <c r="L131" s="16">
        <f>(J131+K131)/($J$173+$K$173)</f>
        <v>6.0181905760349074E-4</v>
      </c>
      <c r="M131" s="16" t="str">
        <f>IF(AND(J131&lt;&gt;0,K131&lt;&gt;0),(K131-J131)/J131,"")</f>
        <v/>
      </c>
      <c r="N131"/>
    </row>
    <row r="132" spans="1:14" hidden="1" x14ac:dyDescent="0.2">
      <c r="A132" t="s">
        <v>153</v>
      </c>
      <c r="B132" s="9"/>
      <c r="C132" s="9">
        <v>168</v>
      </c>
      <c r="D132" s="10">
        <f>(B132+C132)/($B$173+$C$173)</f>
        <v>6.8187020762947828E-5</v>
      </c>
      <c r="E132" s="10" t="str">
        <f>IF(AND(B132&lt;&gt;0,C132&lt;&gt;0),(C132-B132)/B132,"")</f>
        <v/>
      </c>
      <c r="F132" s="12"/>
      <c r="G132" s="12">
        <v>78</v>
      </c>
      <c r="H132" s="13">
        <f>(F132+G132)/($F$173+$G$173)</f>
        <v>5.8043531160074386E-5</v>
      </c>
      <c r="I132" s="13" t="str">
        <f>IF(AND(F132&lt;&gt;0,G132&lt;&gt;0),(G132-F132)/F132,"")</f>
        <v/>
      </c>
      <c r="J132" s="15"/>
      <c r="K132" s="15">
        <v>38</v>
      </c>
      <c r="L132" s="16">
        <f>(J132+K132)/($J$173+$K$173)</f>
        <v>4.3068030487632108E-5</v>
      </c>
      <c r="M132" s="16" t="str">
        <f>IF(AND(J132&lt;&gt;0,K132&lt;&gt;0),(K132-J132)/J132,"")</f>
        <v/>
      </c>
      <c r="N132"/>
    </row>
    <row r="133" spans="1:14" hidden="1" x14ac:dyDescent="0.2">
      <c r="A133" t="s">
        <v>79</v>
      </c>
      <c r="B133" s="9"/>
      <c r="C133" s="9">
        <v>253</v>
      </c>
      <c r="D133" s="10">
        <f>(B133+C133)/($B$173+$C$173)</f>
        <v>1.0268640626801071E-4</v>
      </c>
      <c r="E133" s="10" t="str">
        <f>IF(AND(B133&lt;&gt;0,C133&lt;&gt;0),(C133-B133)/B133,"")</f>
        <v/>
      </c>
      <c r="F133" s="12"/>
      <c r="G133" s="12">
        <v>253</v>
      </c>
      <c r="H133" s="13">
        <f>(F133+G133)/($F$173+$G$173)</f>
        <v>1.8826940235254898E-4</v>
      </c>
      <c r="I133" s="13" t="str">
        <f>IF(AND(F133&lt;&gt;0,G133&lt;&gt;0),(G133-F133)/F133,"")</f>
        <v/>
      </c>
      <c r="J133" s="15"/>
      <c r="K133" s="15">
        <v>117</v>
      </c>
      <c r="L133" s="16">
        <f>(J133+K133)/($J$173+$K$173)</f>
        <v>1.3260419913297254E-4</v>
      </c>
      <c r="M133" s="16" t="str">
        <f>IF(AND(J133&lt;&gt;0,K133&lt;&gt;0),(K133-J133)/J133,"")</f>
        <v/>
      </c>
      <c r="N133"/>
    </row>
    <row r="134" spans="1:14" hidden="1" x14ac:dyDescent="0.2">
      <c r="A134" t="s">
        <v>53</v>
      </c>
      <c r="B134" s="9"/>
      <c r="C134" s="9">
        <v>1744</v>
      </c>
      <c r="D134" s="10">
        <f>(B134+C134)/($B$173+$C$173)</f>
        <v>7.078462155391726E-4</v>
      </c>
      <c r="E134" s="10" t="str">
        <f>IF(AND(B134&lt;&gt;0,C134&lt;&gt;0),(C134-B134)/B134,"")</f>
        <v/>
      </c>
      <c r="F134" s="12"/>
      <c r="G134" s="12">
        <v>1744</v>
      </c>
      <c r="H134" s="13">
        <f>(F134+G134)/($F$173+$G$173)</f>
        <v>1.2977938249124324E-3</v>
      </c>
      <c r="I134" s="13" t="str">
        <f>IF(AND(F134&lt;&gt;0,G134&lt;&gt;0),(G134-F134)/F134,"")</f>
        <v/>
      </c>
      <c r="J134" s="15"/>
      <c r="K134" s="15">
        <v>1225</v>
      </c>
      <c r="L134" s="16">
        <f>(J134+K134)/($J$173+$K$173)</f>
        <v>1.3883772986144562E-3</v>
      </c>
      <c r="M134" s="16" t="str">
        <f>IF(AND(J134&lt;&gt;0,K134&lt;&gt;0),(K134-J134)/J134,"")</f>
        <v/>
      </c>
      <c r="N134"/>
    </row>
    <row r="135" spans="1:14" hidden="1" x14ac:dyDescent="0.2">
      <c r="A135" t="s">
        <v>74</v>
      </c>
      <c r="B135" s="9"/>
      <c r="C135" s="9">
        <v>1251</v>
      </c>
      <c r="D135" s="10">
        <f>(B135+C135)/($B$173+$C$173)</f>
        <v>5.0774977960980786E-4</v>
      </c>
      <c r="E135" s="10" t="str">
        <f>IF(AND(B135&lt;&gt;0,C135&lt;&gt;0),(C135-B135)/B135,"")</f>
        <v/>
      </c>
      <c r="F135" s="12"/>
      <c r="G135" s="12">
        <v>1251</v>
      </c>
      <c r="H135" s="13">
        <f>(F135+G135)/($F$173+$G$173)</f>
        <v>9.309289420673469E-4</v>
      </c>
      <c r="I135" s="13" t="str">
        <f>IF(AND(F135&lt;&gt;0,G135&lt;&gt;0),(G135-F135)/F135,"")</f>
        <v/>
      </c>
      <c r="J135" s="15"/>
      <c r="K135" s="15">
        <v>503</v>
      </c>
      <c r="L135" s="16">
        <f>(J135+K135)/($J$173+$K$173)</f>
        <v>5.7008471934944611E-4</v>
      </c>
      <c r="M135" s="16" t="str">
        <f>IF(AND(J135&lt;&gt;0,K135&lt;&gt;0),(K135-J135)/J135,"")</f>
        <v/>
      </c>
      <c r="N135"/>
    </row>
    <row r="136" spans="1:14" hidden="1" x14ac:dyDescent="0.2">
      <c r="A136" t="s">
        <v>85</v>
      </c>
      <c r="B136" s="9"/>
      <c r="C136" s="9">
        <v>10536</v>
      </c>
      <c r="D136" s="10">
        <f>(B136+C136)/($B$173+$C$173)</f>
        <v>4.2763003021334418E-3</v>
      </c>
      <c r="E136" s="10" t="str">
        <f>IF(AND(B136&lt;&gt;0,C136&lt;&gt;0),(C136-B136)/B136,"")</f>
        <v/>
      </c>
      <c r="F136" s="12"/>
      <c r="G136" s="12">
        <v>8022</v>
      </c>
      <c r="H136" s="13">
        <f>(F136+G136)/($F$173+$G$173)</f>
        <v>5.969553935463035E-3</v>
      </c>
      <c r="I136" s="13" t="str">
        <f>IF(AND(F136&lt;&gt;0,G136&lt;&gt;0),(G136-F136)/F136,"")</f>
        <v/>
      </c>
      <c r="J136" s="15"/>
      <c r="K136" s="15">
        <v>4232</v>
      </c>
      <c r="L136" s="16">
        <f>(J136+K136)/($J$173+$K$173)</f>
        <v>4.7964185532541866E-3</v>
      </c>
      <c r="M136" s="16" t="str">
        <f>IF(AND(J136&lt;&gt;0,K136&lt;&gt;0),(K136-J136)/J136,"")</f>
        <v/>
      </c>
      <c r="N136"/>
    </row>
    <row r="137" spans="1:14" hidden="1" x14ac:dyDescent="0.2">
      <c r="A137" t="s">
        <v>102</v>
      </c>
      <c r="B137" s="9"/>
      <c r="C137" s="9">
        <v>5497</v>
      </c>
      <c r="D137" s="10">
        <f>(B137+C137)/($B$173+$C$173)</f>
        <v>2.2310955543685964E-3</v>
      </c>
      <c r="E137" s="10" t="str">
        <f>IF(AND(B137&lt;&gt;0,C137&lt;&gt;0),(C137-B137)/B137,"")</f>
        <v/>
      </c>
      <c r="F137" s="12"/>
      <c r="G137" s="12">
        <v>5497</v>
      </c>
      <c r="H137" s="13">
        <f>(F137+G137)/($F$173+$G$173)</f>
        <v>4.090580651114473E-3</v>
      </c>
      <c r="I137" s="13" t="str">
        <f>IF(AND(F137&lt;&gt;0,G137&lt;&gt;0),(G137-F137)/F137,"")</f>
        <v/>
      </c>
      <c r="J137" s="15"/>
      <c r="K137" s="15">
        <v>2532</v>
      </c>
      <c r="L137" s="16">
        <f>(J137+K137)/($J$173+$K$173)</f>
        <v>2.8696908735443287E-3</v>
      </c>
      <c r="M137" s="16" t="str">
        <f>IF(AND(J137&lt;&gt;0,K137&lt;&gt;0),(K137-J137)/J137,"")</f>
        <v/>
      </c>
      <c r="N137"/>
    </row>
    <row r="138" spans="1:14" hidden="1" x14ac:dyDescent="0.2">
      <c r="A138" t="s">
        <v>126</v>
      </c>
      <c r="B138" s="9"/>
      <c r="C138" s="9">
        <v>36</v>
      </c>
      <c r="D138" s="10">
        <f>(B138+C138)/($B$173+$C$173)</f>
        <v>1.4611504449203105E-5</v>
      </c>
      <c r="E138" s="10" t="str">
        <f>IF(AND(B138&lt;&gt;0,C138&lt;&gt;0),(C138-B138)/B138,"")</f>
        <v/>
      </c>
      <c r="F138" s="12"/>
      <c r="G138" s="12">
        <v>36</v>
      </c>
      <c r="H138" s="13">
        <f>(F138+G138)/($F$173+$G$173)</f>
        <v>2.6789322073880485E-5</v>
      </c>
      <c r="I138" s="13" t="str">
        <f>IF(AND(F138&lt;&gt;0,G138&lt;&gt;0),(G138-F138)/F138,"")</f>
        <v/>
      </c>
      <c r="J138" s="15"/>
      <c r="K138" s="15">
        <v>1</v>
      </c>
      <c r="L138" s="16">
        <f>(J138+K138)/($J$173+$K$173)</f>
        <v>1.1333692233587397E-6</v>
      </c>
      <c r="M138" s="16" t="str">
        <f>IF(AND(J138&lt;&gt;0,K138&lt;&gt;0),(K138-J138)/J138,"")</f>
        <v/>
      </c>
      <c r="N138"/>
    </row>
    <row r="139" spans="1:14" hidden="1" x14ac:dyDescent="0.2">
      <c r="A139" t="s">
        <v>58</v>
      </c>
      <c r="B139" s="9"/>
      <c r="C139" s="9">
        <v>1882</v>
      </c>
      <c r="D139" s="10">
        <f>(B139+C139)/($B$173+$C$173)</f>
        <v>7.6385698259445116E-4</v>
      </c>
      <c r="E139" s="10" t="str">
        <f>IF(AND(B139&lt;&gt;0,C139&lt;&gt;0),(C139-B139)/B139,"")</f>
        <v/>
      </c>
      <c r="F139" s="12"/>
      <c r="G139" s="12">
        <v>1514</v>
      </c>
      <c r="H139" s="13">
        <f>(F139+G139)/($F$173+$G$173)</f>
        <v>1.1266398227737515E-3</v>
      </c>
      <c r="I139" s="13" t="str">
        <f>IF(AND(F139&lt;&gt;0,G139&lt;&gt;0),(G139-F139)/F139,"")</f>
        <v/>
      </c>
      <c r="J139" s="15"/>
      <c r="K139" s="15">
        <v>851</v>
      </c>
      <c r="L139" s="16">
        <f>(J139+K139)/($J$173+$K$173)</f>
        <v>9.6449720907828748E-4</v>
      </c>
      <c r="M139" s="16" t="str">
        <f>IF(AND(J139&lt;&gt;0,K139&lt;&gt;0),(K139-J139)/J139,"")</f>
        <v/>
      </c>
      <c r="N139"/>
    </row>
    <row r="140" spans="1:14" hidden="1" x14ac:dyDescent="0.2">
      <c r="A140" t="s">
        <v>96</v>
      </c>
      <c r="B140" s="9"/>
      <c r="C140" s="9">
        <v>442</v>
      </c>
      <c r="D140" s="10">
        <f>(B140+C140)/($B$173+$C$173)</f>
        <v>1.7939680462632701E-4</v>
      </c>
      <c r="E140" s="10" t="str">
        <f>IF(AND(B140&lt;&gt;0,C140&lt;&gt;0),(C140-B140)/B140,"")</f>
        <v/>
      </c>
      <c r="F140" s="12"/>
      <c r="G140" s="12">
        <v>352</v>
      </c>
      <c r="H140" s="13">
        <f>(F140+G140)/($F$173+$G$173)</f>
        <v>2.6194003805572031E-4</v>
      </c>
      <c r="I140" s="13" t="str">
        <f>IF(AND(F140&lt;&gt;0,G140&lt;&gt;0),(G140-F140)/F140,"")</f>
        <v/>
      </c>
      <c r="J140" s="15"/>
      <c r="K140" s="15">
        <v>220</v>
      </c>
      <c r="L140" s="16">
        <f>(J140+K140)/($J$173+$K$173)</f>
        <v>2.4934122913892272E-4</v>
      </c>
      <c r="M140" s="16" t="str">
        <f>IF(AND(J140&lt;&gt;0,K140&lt;&gt;0),(K140-J140)/J140,"")</f>
        <v/>
      </c>
      <c r="N140"/>
    </row>
    <row r="141" spans="1:14" hidden="1" x14ac:dyDescent="0.2">
      <c r="A141" t="s">
        <v>117</v>
      </c>
      <c r="B141" s="9"/>
      <c r="C141" s="9">
        <v>650</v>
      </c>
      <c r="D141" s="10">
        <f>(B141+C141)/($B$173+$C$173)</f>
        <v>2.6381883033283382E-4</v>
      </c>
      <c r="E141" s="10" t="str">
        <f>IF(AND(B141&lt;&gt;0,C141&lt;&gt;0),(C141-B141)/B141,"")</f>
        <v/>
      </c>
      <c r="F141" s="12"/>
      <c r="G141" s="12">
        <v>650</v>
      </c>
      <c r="H141" s="13">
        <f>(F141+G141)/($F$173+$G$173)</f>
        <v>4.8369609300061989E-4</v>
      </c>
      <c r="I141" s="13" t="str">
        <f>IF(AND(F141&lt;&gt;0,G141&lt;&gt;0),(G141-F141)/F141,"")</f>
        <v/>
      </c>
      <c r="J141" s="15"/>
      <c r="K141" s="15">
        <v>510</v>
      </c>
      <c r="L141" s="16">
        <f>(J141+K141)/($J$173+$K$173)</f>
        <v>5.7801830391295721E-4</v>
      </c>
      <c r="M141" s="16" t="str">
        <f>IF(AND(J141&lt;&gt;0,K141&lt;&gt;0),(K141-J141)/J141,"")</f>
        <v/>
      </c>
      <c r="N141"/>
    </row>
    <row r="142" spans="1:14" hidden="1" x14ac:dyDescent="0.2">
      <c r="A142" t="s">
        <v>162</v>
      </c>
      <c r="B142" s="9"/>
      <c r="C142" s="9">
        <v>785</v>
      </c>
      <c r="D142" s="10">
        <f>(B142+C142)/($B$173+$C$173)</f>
        <v>3.1861197201734547E-4</v>
      </c>
      <c r="E142" s="10" t="str">
        <f>IF(AND(B142&lt;&gt;0,C142&lt;&gt;0),(C142-B142)/B142,"")</f>
        <v/>
      </c>
      <c r="F142" s="12"/>
      <c r="G142" s="12">
        <v>785</v>
      </c>
      <c r="H142" s="13">
        <f>(F142+G142)/($F$173+$G$173)</f>
        <v>5.8415605077767174E-4</v>
      </c>
      <c r="I142" s="13" t="str">
        <f>IF(AND(F142&lt;&gt;0,G142&lt;&gt;0),(G142-F142)/F142,"")</f>
        <v/>
      </c>
      <c r="J142" s="15"/>
      <c r="K142" s="15">
        <v>565</v>
      </c>
      <c r="L142" s="16">
        <f>(J142+K142)/($J$173+$K$173)</f>
        <v>6.4035361119768792E-4</v>
      </c>
      <c r="M142" s="16" t="str">
        <f>IF(AND(J142&lt;&gt;0,K142&lt;&gt;0),(K142-J142)/J142,"")</f>
        <v/>
      </c>
      <c r="N142"/>
    </row>
    <row r="143" spans="1:14" hidden="1" x14ac:dyDescent="0.2">
      <c r="A143" t="s">
        <v>128</v>
      </c>
      <c r="B143" s="9"/>
      <c r="C143" s="9">
        <v>661</v>
      </c>
      <c r="D143" s="10">
        <f>(B143+C143)/($B$173+$C$173)</f>
        <v>2.6828345669231257E-4</v>
      </c>
      <c r="E143" s="10" t="str">
        <f>IF(AND(B143&lt;&gt;0,C143&lt;&gt;0),(C143-B143)/B143,"")</f>
        <v/>
      </c>
      <c r="F143" s="12"/>
      <c r="G143" s="12">
        <v>476</v>
      </c>
      <c r="H143" s="13">
        <f>(F143+G143)/($F$173+$G$173)</f>
        <v>3.5421436964353084E-4</v>
      </c>
      <c r="I143" s="13" t="str">
        <f>IF(AND(F143&lt;&gt;0,G143&lt;&gt;0),(G143-F143)/F143,"")</f>
        <v/>
      </c>
      <c r="J143" s="15"/>
      <c r="K143" s="15">
        <v>192</v>
      </c>
      <c r="L143" s="16">
        <f>(J143+K143)/($J$173+$K$173)</f>
        <v>2.1760689088487801E-4</v>
      </c>
      <c r="M143" s="16" t="str">
        <f>IF(AND(J143&lt;&gt;0,K143&lt;&gt;0),(K143-J143)/J143,"")</f>
        <v/>
      </c>
      <c r="N143"/>
    </row>
    <row r="144" spans="1:14" hidden="1" x14ac:dyDescent="0.2">
      <c r="A144" t="s">
        <v>89</v>
      </c>
      <c r="B144" s="9"/>
      <c r="C144" s="9">
        <v>33</v>
      </c>
      <c r="D144" s="10">
        <f>(B144+C144)/($B$173+$C$173)</f>
        <v>1.3393879078436179E-5</v>
      </c>
      <c r="E144" s="10" t="str">
        <f>IF(AND(B144&lt;&gt;0,C144&lt;&gt;0),(C144-B144)/B144,"")</f>
        <v/>
      </c>
      <c r="F144" s="12"/>
      <c r="G144" s="12">
        <v>33</v>
      </c>
      <c r="H144" s="13">
        <f>(F144+G144)/($F$173+$G$173)</f>
        <v>2.4556878567723777E-5</v>
      </c>
      <c r="I144" s="13" t="str">
        <f>IF(AND(F144&lt;&gt;0,G144&lt;&gt;0),(G144-F144)/F144,"")</f>
        <v/>
      </c>
      <c r="J144" s="15"/>
      <c r="K144" s="15">
        <v>0</v>
      </c>
      <c r="L144" s="16">
        <f>(J144+K144)/($J$173+$K$173)</f>
        <v>0</v>
      </c>
      <c r="M144" s="16" t="str">
        <f>IF(AND(J144&lt;&gt;0,K144&lt;&gt;0),(K144-J144)/J144,"")</f>
        <v/>
      </c>
      <c r="N144"/>
    </row>
    <row r="145" spans="1:14" hidden="1" x14ac:dyDescent="0.2">
      <c r="A145" t="s">
        <v>112</v>
      </c>
      <c r="B145" s="9"/>
      <c r="C145" s="9">
        <v>44</v>
      </c>
      <c r="D145" s="10">
        <f>(B145+C145)/($B$173+$C$173)</f>
        <v>1.7858505437914904E-5</v>
      </c>
      <c r="E145" s="10" t="str">
        <f>IF(AND(B145&lt;&gt;0,C145&lt;&gt;0),(C145-B145)/B145,"")</f>
        <v/>
      </c>
      <c r="F145" s="12"/>
      <c r="G145" s="12">
        <v>39</v>
      </c>
      <c r="H145" s="13">
        <f>(F145+G145)/($F$173+$G$173)</f>
        <v>2.9021765580037193E-5</v>
      </c>
      <c r="I145" s="13" t="str">
        <f>IF(AND(F145&lt;&gt;0,G145&lt;&gt;0),(G145-F145)/F145,"")</f>
        <v/>
      </c>
      <c r="J145" s="15"/>
      <c r="K145" s="15">
        <v>5</v>
      </c>
      <c r="L145" s="16">
        <f>(J145+K145)/($J$173+$K$173)</f>
        <v>5.6668461167936984E-6</v>
      </c>
      <c r="M145" s="16" t="str">
        <f>IF(AND(J145&lt;&gt;0,K145&lt;&gt;0),(K145-J145)/J145,"")</f>
        <v/>
      </c>
      <c r="N145"/>
    </row>
    <row r="146" spans="1:14" hidden="1" x14ac:dyDescent="0.2">
      <c r="A146" t="s">
        <v>26</v>
      </c>
      <c r="B146" s="9"/>
      <c r="C146" s="9">
        <v>39</v>
      </c>
      <c r="D146" s="10">
        <f>(B146+C146)/($B$173+$C$173)</f>
        <v>1.5829129819970031E-5</v>
      </c>
      <c r="E146" s="10" t="str">
        <f>IF(AND(B146&lt;&gt;0,C146&lt;&gt;0),(C146-B146)/B146,"")</f>
        <v/>
      </c>
      <c r="F146" s="12"/>
      <c r="G146" s="12">
        <v>33</v>
      </c>
      <c r="H146" s="13">
        <f>(F146+G146)/($F$173+$G$173)</f>
        <v>2.4556878567723777E-5</v>
      </c>
      <c r="I146" s="13" t="str">
        <f>IF(AND(F146&lt;&gt;0,G146&lt;&gt;0),(G146-F146)/F146,"")</f>
        <v/>
      </c>
      <c r="J146" s="15"/>
      <c r="K146" s="15">
        <v>1</v>
      </c>
      <c r="L146" s="16">
        <f>(J146+K146)/($J$173+$K$173)</f>
        <v>1.1333692233587397E-6</v>
      </c>
      <c r="M146" s="16" t="str">
        <f>IF(AND(J146&lt;&gt;0,K146&lt;&gt;0),(K146-J146)/J146,"")</f>
        <v/>
      </c>
      <c r="N146"/>
    </row>
    <row r="147" spans="1:14" hidden="1" x14ac:dyDescent="0.2">
      <c r="A147" t="s">
        <v>145</v>
      </c>
      <c r="B147" s="9"/>
      <c r="C147" s="9">
        <v>264</v>
      </c>
      <c r="D147" s="10">
        <f>(B147+C147)/($B$173+$C$173)</f>
        <v>1.0715103262748943E-4</v>
      </c>
      <c r="E147" s="10" t="str">
        <f>IF(AND(B147&lt;&gt;0,C147&lt;&gt;0),(C147-B147)/B147,"")</f>
        <v/>
      </c>
      <c r="F147" s="12"/>
      <c r="G147" s="12">
        <v>264</v>
      </c>
      <c r="H147" s="13">
        <f>(F147+G147)/($F$173+$G$173)</f>
        <v>1.9645502854179022E-4</v>
      </c>
      <c r="I147" s="13" t="str">
        <f>IF(AND(F147&lt;&gt;0,G147&lt;&gt;0),(G147-F147)/F147,"")</f>
        <v/>
      </c>
      <c r="J147" s="15"/>
      <c r="K147" s="15">
        <v>192</v>
      </c>
      <c r="L147" s="16">
        <f>(J147+K147)/($J$173+$K$173)</f>
        <v>2.1760689088487801E-4</v>
      </c>
      <c r="M147" s="16" t="str">
        <f>IF(AND(J147&lt;&gt;0,K147&lt;&gt;0),(K147-J147)/J147,"")</f>
        <v/>
      </c>
      <c r="N147"/>
    </row>
    <row r="148" spans="1:14" hidden="1" x14ac:dyDescent="0.2">
      <c r="A148" t="s">
        <v>113</v>
      </c>
      <c r="B148" s="9"/>
      <c r="C148" s="9">
        <v>1</v>
      </c>
      <c r="D148" s="10">
        <f>(B148+C148)/($B$173+$C$173)</f>
        <v>4.0587512358897512E-7</v>
      </c>
      <c r="E148" s="10" t="str">
        <f>IF(AND(B148&lt;&gt;0,C148&lt;&gt;0),(C148-B148)/B148,"")</f>
        <v/>
      </c>
      <c r="F148" s="12"/>
      <c r="G148" s="12">
        <v>0</v>
      </c>
      <c r="H148" s="13">
        <f>(F148+G148)/($F$173+$G$173)</f>
        <v>0</v>
      </c>
      <c r="I148" s="13" t="str">
        <f>IF(AND(F148&lt;&gt;0,G148&lt;&gt;0),(G148-F148)/F148,"")</f>
        <v/>
      </c>
      <c r="J148" s="15"/>
      <c r="K148" s="15">
        <v>0</v>
      </c>
      <c r="L148" s="16">
        <f>(J148+K148)/($J$173+$K$173)</f>
        <v>0</v>
      </c>
      <c r="M148" s="16" t="str">
        <f>IF(AND(J148&lt;&gt;0,K148&lt;&gt;0),(K148-J148)/J148,"")</f>
        <v/>
      </c>
      <c r="N148"/>
    </row>
    <row r="149" spans="1:14" hidden="1" x14ac:dyDescent="0.2">
      <c r="A149" t="s">
        <v>59</v>
      </c>
      <c r="B149" s="9"/>
      <c r="C149" s="9">
        <v>34</v>
      </c>
      <c r="D149" s="10">
        <f>(B149+C149)/($B$173+$C$173)</f>
        <v>1.3799754202025154E-5</v>
      </c>
      <c r="E149" s="10" t="str">
        <f>IF(AND(B149&lt;&gt;0,C149&lt;&gt;0),(C149-B149)/B149,"")</f>
        <v/>
      </c>
      <c r="F149" s="12"/>
      <c r="G149" s="12">
        <v>34</v>
      </c>
      <c r="H149" s="13">
        <f>(F149+G149)/($F$173+$G$173)</f>
        <v>2.5301026403109348E-5</v>
      </c>
      <c r="I149" s="13" t="str">
        <f>IF(AND(F149&lt;&gt;0,G149&lt;&gt;0),(G149-F149)/F149,"")</f>
        <v/>
      </c>
      <c r="J149" s="15"/>
      <c r="K149" s="15">
        <v>3</v>
      </c>
      <c r="L149" s="16">
        <f>(J149+K149)/($J$173+$K$173)</f>
        <v>3.4001076700762189E-6</v>
      </c>
      <c r="M149" s="16" t="str">
        <f>IF(AND(J149&lt;&gt;0,K149&lt;&gt;0),(K149-J149)/J149,"")</f>
        <v/>
      </c>
      <c r="N149"/>
    </row>
    <row r="150" spans="1:14" hidden="1" x14ac:dyDescent="0.2">
      <c r="A150" t="s">
        <v>169</v>
      </c>
      <c r="B150" s="9"/>
      <c r="C150" s="9">
        <v>559</v>
      </c>
      <c r="D150" s="10">
        <f>(B150+C150)/($B$173+$C$173)</f>
        <v>2.268841940862371E-4</v>
      </c>
      <c r="E150" s="10" t="str">
        <f>IF(AND(B150&lt;&gt;0,C150&lt;&gt;0),(C150-B150)/B150,"")</f>
        <v/>
      </c>
      <c r="F150" s="12"/>
      <c r="G150" s="12">
        <v>559</v>
      </c>
      <c r="H150" s="13">
        <f>(F150+G150)/($F$173+$G$173)</f>
        <v>4.1597863998053309E-4</v>
      </c>
      <c r="I150" s="13" t="str">
        <f>IF(AND(F150&lt;&gt;0,G150&lt;&gt;0),(G150-F150)/F150,"")</f>
        <v/>
      </c>
      <c r="J150" s="15"/>
      <c r="K150" s="15">
        <v>244</v>
      </c>
      <c r="L150" s="16">
        <f>(J150+K150)/($J$173+$K$173)</f>
        <v>2.7654209049953247E-4</v>
      </c>
      <c r="M150" s="16" t="str">
        <f>IF(AND(J150&lt;&gt;0,K150&lt;&gt;0),(K150-J150)/J150,"")</f>
        <v/>
      </c>
      <c r="N150"/>
    </row>
    <row r="151" spans="1:14" hidden="1" x14ac:dyDescent="0.2">
      <c r="A151" t="s">
        <v>134</v>
      </c>
      <c r="B151" s="9"/>
      <c r="C151" s="9">
        <v>890</v>
      </c>
      <c r="D151" s="10">
        <f>(B151+C151)/($B$173+$C$173)</f>
        <v>3.6122885999418785E-4</v>
      </c>
      <c r="E151" s="10" t="str">
        <f>IF(AND(B151&lt;&gt;0,C151&lt;&gt;0),(C151-B151)/B151,"")</f>
        <v/>
      </c>
      <c r="F151" s="12"/>
      <c r="G151" s="12">
        <v>669</v>
      </c>
      <c r="H151" s="13">
        <f>(F151+G151)/($F$173+$G$173)</f>
        <v>4.9783490187294574E-4</v>
      </c>
      <c r="I151" s="13" t="str">
        <f>IF(AND(F151&lt;&gt;0,G151&lt;&gt;0),(G151-F151)/F151,"")</f>
        <v/>
      </c>
      <c r="J151" s="15"/>
      <c r="K151" s="15">
        <v>316</v>
      </c>
      <c r="L151" s="16">
        <f>(J151+K151)/($J$173+$K$173)</f>
        <v>3.5814467458136176E-4</v>
      </c>
      <c r="M151" s="16" t="str">
        <f>IF(AND(J151&lt;&gt;0,K151&lt;&gt;0),(K151-J151)/J151,"")</f>
        <v/>
      </c>
      <c r="N151"/>
    </row>
    <row r="152" spans="1:14" hidden="1" x14ac:dyDescent="0.2">
      <c r="A152" t="s">
        <v>92</v>
      </c>
      <c r="B152" s="9"/>
      <c r="C152" s="9">
        <v>3084</v>
      </c>
      <c r="D152" s="10">
        <f>(B152+C152)/($B$173+$C$173)</f>
        <v>1.2517188811483992E-3</v>
      </c>
      <c r="E152" s="10" t="str">
        <f>IF(AND(B152&lt;&gt;0,C152&lt;&gt;0),(C152-B152)/B152,"")</f>
        <v/>
      </c>
      <c r="F152" s="12"/>
      <c r="G152" s="12">
        <v>2081</v>
      </c>
      <c r="H152" s="13">
        <f>(F152+G152)/($F$173+$G$173)</f>
        <v>1.5485716454373692E-3</v>
      </c>
      <c r="I152" s="13" t="str">
        <f>IF(AND(F152&lt;&gt;0,G152&lt;&gt;0),(G152-F152)/F152,"")</f>
        <v/>
      </c>
      <c r="J152" s="15"/>
      <c r="K152" s="15">
        <v>862</v>
      </c>
      <c r="L152" s="16">
        <f>(J152+K152)/($J$173+$K$173)</f>
        <v>9.7696427053523363E-4</v>
      </c>
      <c r="M152" s="16" t="str">
        <f>IF(AND(J152&lt;&gt;0,K152&lt;&gt;0),(K152-J152)/J152,"")</f>
        <v/>
      </c>
      <c r="N152"/>
    </row>
    <row r="153" spans="1:14" hidden="1" x14ac:dyDescent="0.2">
      <c r="A153" t="s">
        <v>75</v>
      </c>
      <c r="B153" s="9"/>
      <c r="C153" s="9">
        <v>4967</v>
      </c>
      <c r="D153" s="10">
        <f>(B153+C153)/($B$173+$C$173)</f>
        <v>2.0159817388664394E-3</v>
      </c>
      <c r="E153" s="10" t="str">
        <f>IF(AND(B153&lt;&gt;0,C153&lt;&gt;0),(C153-B153)/B153,"")</f>
        <v/>
      </c>
      <c r="F153" s="12"/>
      <c r="G153" s="12">
        <v>4967</v>
      </c>
      <c r="H153" s="13">
        <f>(F153+G153)/($F$173+$G$173)</f>
        <v>3.6961822983601214E-3</v>
      </c>
      <c r="I153" s="13" t="str">
        <f>IF(AND(F153&lt;&gt;0,G153&lt;&gt;0),(G153-F153)/F153,"")</f>
        <v/>
      </c>
      <c r="J153" s="15"/>
      <c r="K153" s="15">
        <v>3269</v>
      </c>
      <c r="L153" s="16">
        <f>(J153+K153)/($J$173+$K$173)</f>
        <v>3.7049839911597201E-3</v>
      </c>
      <c r="M153" s="16" t="str">
        <f>IF(AND(J153&lt;&gt;0,K153&lt;&gt;0),(K153-J153)/J153,"")</f>
        <v/>
      </c>
      <c r="N153"/>
    </row>
    <row r="154" spans="1:14" hidden="1" x14ac:dyDescent="0.2">
      <c r="A154" t="s">
        <v>137</v>
      </c>
      <c r="B154" s="9"/>
      <c r="C154" s="9">
        <v>32</v>
      </c>
      <c r="D154" s="10">
        <f>(B154+C154)/($B$173+$C$173)</f>
        <v>1.2988003954847204E-5</v>
      </c>
      <c r="E154" s="10" t="str">
        <f>IF(AND(B154&lt;&gt;0,C154&lt;&gt;0),(C154-B154)/B154,"")</f>
        <v/>
      </c>
      <c r="F154" s="12"/>
      <c r="G154" s="12">
        <v>32</v>
      </c>
      <c r="H154" s="13">
        <f>(F154+G154)/($F$173+$G$173)</f>
        <v>2.381273073233821E-5</v>
      </c>
      <c r="I154" s="13" t="str">
        <f>IF(AND(F154&lt;&gt;0,G154&lt;&gt;0),(G154-F154)/F154,"")</f>
        <v/>
      </c>
      <c r="J154" s="15"/>
      <c r="K154" s="15">
        <v>1</v>
      </c>
      <c r="L154" s="16">
        <f>(J154+K154)/($J$173+$K$173)</f>
        <v>1.1333692233587397E-6</v>
      </c>
      <c r="M154" s="16" t="str">
        <f>IF(AND(J154&lt;&gt;0,K154&lt;&gt;0),(K154-J154)/J154,"")</f>
        <v/>
      </c>
      <c r="N154"/>
    </row>
    <row r="155" spans="1:14" hidden="1" x14ac:dyDescent="0.2">
      <c r="A155" t="s">
        <v>43</v>
      </c>
      <c r="B155" s="9"/>
      <c r="C155" s="9">
        <v>79</v>
      </c>
      <c r="D155" s="10">
        <f>(B155+C155)/($B$173+$C$173)</f>
        <v>3.2064134763529034E-5</v>
      </c>
      <c r="E155" s="10" t="str">
        <f>IF(AND(B155&lt;&gt;0,C155&lt;&gt;0),(C155-B155)/B155,"")</f>
        <v/>
      </c>
      <c r="F155" s="12"/>
      <c r="G155" s="12">
        <v>79</v>
      </c>
      <c r="H155" s="13">
        <f>(F155+G155)/($F$173+$G$173)</f>
        <v>5.8787678995459953E-5</v>
      </c>
      <c r="I155" s="13" t="str">
        <f>IF(AND(F155&lt;&gt;0,G155&lt;&gt;0),(G155-F155)/F155,"")</f>
        <v/>
      </c>
      <c r="J155" s="15"/>
      <c r="K155" s="15">
        <v>39</v>
      </c>
      <c r="L155" s="16">
        <f>(J155+K155)/($J$173+$K$173)</f>
        <v>4.4201399710990847E-5</v>
      </c>
      <c r="M155" s="16" t="str">
        <f>IF(AND(J155&lt;&gt;0,K155&lt;&gt;0),(K155-J155)/J155,"")</f>
        <v/>
      </c>
      <c r="N155"/>
    </row>
    <row r="156" spans="1:14" hidden="1" x14ac:dyDescent="0.2">
      <c r="A156" t="s">
        <v>8</v>
      </c>
      <c r="B156" s="9"/>
      <c r="C156" s="9">
        <v>40</v>
      </c>
      <c r="D156" s="10">
        <f>(B156+C156)/($B$173+$C$173)</f>
        <v>1.6235004943559006E-5</v>
      </c>
      <c r="E156" s="10" t="str">
        <f>IF(AND(B156&lt;&gt;0,C156&lt;&gt;0),(C156-B156)/B156,"")</f>
        <v/>
      </c>
      <c r="F156" s="12"/>
      <c r="G156" s="12">
        <v>39</v>
      </c>
      <c r="H156" s="13">
        <f>(F156+G156)/($F$173+$G$173)</f>
        <v>2.9021765580037193E-5</v>
      </c>
      <c r="I156" s="13" t="str">
        <f>IF(AND(F156&lt;&gt;0,G156&lt;&gt;0),(G156-F156)/F156,"")</f>
        <v/>
      </c>
      <c r="J156" s="15"/>
      <c r="K156" s="15">
        <v>3</v>
      </c>
      <c r="L156" s="16">
        <f>(J156+K156)/($J$173+$K$173)</f>
        <v>3.4001076700762189E-6</v>
      </c>
      <c r="M156" s="16" t="str">
        <f>IF(AND(J156&lt;&gt;0,K156&lt;&gt;0),(K156-J156)/J156,"")</f>
        <v/>
      </c>
      <c r="N156"/>
    </row>
    <row r="157" spans="1:14" hidden="1" x14ac:dyDescent="0.2">
      <c r="A157" t="s">
        <v>172</v>
      </c>
      <c r="B157" s="9"/>
      <c r="C157" s="9">
        <v>79</v>
      </c>
      <c r="D157" s="10">
        <f>(B157+C157)/($B$173+$C$173)</f>
        <v>3.2064134763529034E-5</v>
      </c>
      <c r="E157" s="10" t="str">
        <f>IF(AND(B157&lt;&gt;0,C157&lt;&gt;0),(C157-B157)/B157,"")</f>
        <v/>
      </c>
      <c r="F157" s="12"/>
      <c r="G157" s="12">
        <v>79</v>
      </c>
      <c r="H157" s="13">
        <f>(F157+G157)/($F$173+$G$173)</f>
        <v>5.8787678995459953E-5</v>
      </c>
      <c r="I157" s="13" t="str">
        <f>IF(AND(F157&lt;&gt;0,G157&lt;&gt;0),(G157-F157)/F157,"")</f>
        <v/>
      </c>
      <c r="J157" s="15"/>
      <c r="K157" s="15">
        <v>60</v>
      </c>
      <c r="L157" s="16">
        <f>(J157+K157)/($J$173+$K$173)</f>
        <v>6.8002153401524384E-5</v>
      </c>
      <c r="M157" s="16" t="str">
        <f>IF(AND(J157&lt;&gt;0,K157&lt;&gt;0),(K157-J157)/J157,"")</f>
        <v/>
      </c>
      <c r="N157"/>
    </row>
    <row r="158" spans="1:14" hidden="1" x14ac:dyDescent="0.2">
      <c r="A158" t="s">
        <v>168</v>
      </c>
      <c r="B158" s="9"/>
      <c r="C158" s="9">
        <v>22</v>
      </c>
      <c r="D158" s="10">
        <f>(B158+C158)/($B$173+$C$173)</f>
        <v>8.9292527189574522E-6</v>
      </c>
      <c r="E158" s="10" t="str">
        <f>IF(AND(B158&lt;&gt;0,C158&lt;&gt;0),(C158-B158)/B158,"")</f>
        <v/>
      </c>
      <c r="F158" s="12"/>
      <c r="G158" s="12">
        <v>12</v>
      </c>
      <c r="H158" s="13">
        <f>(F158+G158)/($F$173+$G$173)</f>
        <v>8.9297740246268284E-6</v>
      </c>
      <c r="I158" s="13" t="str">
        <f>IF(AND(F158&lt;&gt;0,G158&lt;&gt;0),(G158-F158)/F158,"")</f>
        <v/>
      </c>
      <c r="J158" s="15"/>
      <c r="K158" s="15">
        <v>2</v>
      </c>
      <c r="L158" s="16">
        <f>(J158+K158)/($J$173+$K$173)</f>
        <v>2.2667384467174794E-6</v>
      </c>
      <c r="M158" s="16" t="str">
        <f>IF(AND(J158&lt;&gt;0,K158&lt;&gt;0),(K158-J158)/J158,"")</f>
        <v/>
      </c>
      <c r="N158"/>
    </row>
    <row r="159" spans="1:14" hidden="1" x14ac:dyDescent="0.2">
      <c r="A159" t="s">
        <v>138</v>
      </c>
      <c r="B159" s="9"/>
      <c r="C159" s="9">
        <v>694</v>
      </c>
      <c r="D159" s="10">
        <f>(B159+C159)/($B$173+$C$173)</f>
        <v>2.8167733577074875E-4</v>
      </c>
      <c r="E159" s="10" t="str">
        <f>IF(AND(B159&lt;&gt;0,C159&lt;&gt;0),(C159-B159)/B159,"")</f>
        <v/>
      </c>
      <c r="F159" s="12"/>
      <c r="G159" s="12">
        <v>390</v>
      </c>
      <c r="H159" s="13">
        <f>(F159+G159)/($F$173+$G$173)</f>
        <v>2.9021765580037191E-4</v>
      </c>
      <c r="I159" s="13" t="str">
        <f>IF(AND(F159&lt;&gt;0,G159&lt;&gt;0),(G159-F159)/F159,"")</f>
        <v/>
      </c>
      <c r="J159" s="15"/>
      <c r="K159" s="15">
        <v>156</v>
      </c>
      <c r="L159" s="16">
        <f>(J159+K159)/($J$173+$K$173)</f>
        <v>1.7680559884396339E-4</v>
      </c>
      <c r="M159" s="16" t="str">
        <f>IF(AND(J159&lt;&gt;0,K159&lt;&gt;0),(K159-J159)/J159,"")</f>
        <v/>
      </c>
      <c r="N159"/>
    </row>
    <row r="160" spans="1:14" hidden="1" x14ac:dyDescent="0.2">
      <c r="A160" t="s">
        <v>143</v>
      </c>
      <c r="B160" s="9"/>
      <c r="C160" s="9">
        <v>86</v>
      </c>
      <c r="D160" s="10">
        <f>(B160+C160)/($B$173+$C$173)</f>
        <v>3.4905260628651865E-5</v>
      </c>
      <c r="E160" s="10" t="str">
        <f>IF(AND(B160&lt;&gt;0,C160&lt;&gt;0),(C160-B160)/B160,"")</f>
        <v/>
      </c>
      <c r="F160" s="12"/>
      <c r="G160" s="12">
        <v>45</v>
      </c>
      <c r="H160" s="13">
        <f>(F160+G160)/($F$173+$G$173)</f>
        <v>3.3486652592350605E-5</v>
      </c>
      <c r="I160" s="13" t="str">
        <f>IF(AND(F160&lt;&gt;0,G160&lt;&gt;0),(G160-F160)/F160,"")</f>
        <v/>
      </c>
      <c r="J160" s="15"/>
      <c r="K160" s="15">
        <v>15</v>
      </c>
      <c r="L160" s="16">
        <f>(J160+K160)/($J$173+$K$173)</f>
        <v>1.7000538350381096E-5</v>
      </c>
      <c r="M160" s="16" t="str">
        <f>IF(AND(J160&lt;&gt;0,K160&lt;&gt;0),(K160-J160)/J160,"")</f>
        <v/>
      </c>
      <c r="N160"/>
    </row>
    <row r="161" spans="1:14" hidden="1" x14ac:dyDescent="0.2">
      <c r="A161" t="s">
        <v>109</v>
      </c>
      <c r="B161" s="9"/>
      <c r="C161" s="9">
        <v>2164</v>
      </c>
      <c r="D161" s="10">
        <f>(B161+C161)/($B$173+$C$173)</f>
        <v>8.7831376744654222E-4</v>
      </c>
      <c r="E161" s="10" t="str">
        <f>IF(AND(B161&lt;&gt;0,C161&lt;&gt;0),(C161-B161)/B161,"")</f>
        <v/>
      </c>
      <c r="F161" s="12"/>
      <c r="G161" s="12">
        <v>1790</v>
      </c>
      <c r="H161" s="13">
        <f>(F161+G161)/($F$173+$G$173)</f>
        <v>1.3320246253401685E-3</v>
      </c>
      <c r="I161" s="13" t="str">
        <f>IF(AND(F161&lt;&gt;0,G161&lt;&gt;0),(G161-F161)/F161,"")</f>
        <v/>
      </c>
      <c r="J161" s="15"/>
      <c r="K161" s="15">
        <v>1099</v>
      </c>
      <c r="L161" s="16">
        <f>(J161+K161)/($J$173+$K$173)</f>
        <v>1.2455727764712548E-3</v>
      </c>
      <c r="M161" s="16" t="str">
        <f>IF(AND(J161&lt;&gt;0,K161&lt;&gt;0),(K161-J161)/J161,"")</f>
        <v/>
      </c>
      <c r="N161"/>
    </row>
    <row r="162" spans="1:14" hidden="1" x14ac:dyDescent="0.2">
      <c r="A162" t="s">
        <v>173</v>
      </c>
      <c r="B162" s="9"/>
      <c r="C162" s="9">
        <v>1696</v>
      </c>
      <c r="D162" s="10">
        <f>(B162+C162)/($B$173+$C$173)</f>
        <v>6.8836420960690183E-4</v>
      </c>
      <c r="E162" s="10" t="str">
        <f>IF(AND(B162&lt;&gt;0,C162&lt;&gt;0),(C162-B162)/B162,"")</f>
        <v/>
      </c>
      <c r="F162" s="12"/>
      <c r="G162" s="12">
        <v>1696</v>
      </c>
      <c r="H162" s="13">
        <f>(F162+G162)/($F$173+$G$173)</f>
        <v>1.2620747288139252E-3</v>
      </c>
      <c r="I162" s="13" t="str">
        <f>IF(AND(F162&lt;&gt;0,G162&lt;&gt;0),(G162-F162)/F162,"")</f>
        <v/>
      </c>
      <c r="J162" s="15"/>
      <c r="K162" s="15">
        <v>840</v>
      </c>
      <c r="L162" s="16">
        <f>(J162+K162)/($J$173+$K$173)</f>
        <v>9.5203014762134134E-4</v>
      </c>
      <c r="M162" s="16" t="str">
        <f>IF(AND(J162&lt;&gt;0,K162&lt;&gt;0),(K162-J162)/J162,"")</f>
        <v/>
      </c>
      <c r="N162"/>
    </row>
    <row r="163" spans="1:14" hidden="1" x14ac:dyDescent="0.2">
      <c r="A163" t="s">
        <v>60</v>
      </c>
      <c r="B163" s="9"/>
      <c r="C163" s="9">
        <v>41</v>
      </c>
      <c r="D163" s="10">
        <f>(B163+C163)/($B$173+$C$173)</f>
        <v>1.6640880067147982E-5</v>
      </c>
      <c r="E163" s="10" t="str">
        <f>IF(AND(B163&lt;&gt;0,C163&lt;&gt;0),(C163-B163)/B163,"")</f>
        <v/>
      </c>
      <c r="F163" s="12"/>
      <c r="G163" s="12">
        <v>38</v>
      </c>
      <c r="H163" s="13">
        <f>(F163+G163)/($F$173+$G$173)</f>
        <v>2.8277617744651623E-5</v>
      </c>
      <c r="I163" s="13" t="str">
        <f>IF(AND(F163&lt;&gt;0,G163&lt;&gt;0),(G163-F163)/F163,"")</f>
        <v/>
      </c>
      <c r="J163" s="15"/>
      <c r="K163" s="15">
        <v>4</v>
      </c>
      <c r="L163" s="16">
        <f>(J163+K163)/($J$173+$K$173)</f>
        <v>4.5334768934349588E-6</v>
      </c>
      <c r="M163" s="16" t="str">
        <f>IF(AND(J163&lt;&gt;0,K163&lt;&gt;0),(K163-J163)/J163,"")</f>
        <v/>
      </c>
      <c r="N163"/>
    </row>
    <row r="164" spans="1:14" hidden="1" x14ac:dyDescent="0.2">
      <c r="A164" t="s">
        <v>171</v>
      </c>
      <c r="B164" s="9"/>
      <c r="C164" s="9">
        <v>35</v>
      </c>
      <c r="D164" s="10">
        <f>(B164+C164)/($B$173+$C$173)</f>
        <v>1.420562932561413E-5</v>
      </c>
      <c r="E164" s="10" t="str">
        <f>IF(AND(B164&lt;&gt;0,C164&lt;&gt;0),(C164-B164)/B164,"")</f>
        <v/>
      </c>
      <c r="F164" s="12"/>
      <c r="G164" s="12">
        <v>31</v>
      </c>
      <c r="H164" s="13">
        <f>(F164+G164)/($F$173+$G$173)</f>
        <v>2.306858289695264E-5</v>
      </c>
      <c r="I164" s="13" t="str">
        <f>IF(AND(F164&lt;&gt;0,G164&lt;&gt;0),(G164-F164)/F164,"")</f>
        <v/>
      </c>
      <c r="J164" s="15"/>
      <c r="K164" s="15">
        <v>7</v>
      </c>
      <c r="L164" s="16">
        <f>(J164+K164)/($J$173+$K$173)</f>
        <v>7.9335845635111782E-6</v>
      </c>
      <c r="M164" s="16" t="str">
        <f>IF(AND(J164&lt;&gt;0,K164&lt;&gt;0),(K164-J164)/J164,"")</f>
        <v/>
      </c>
      <c r="N164"/>
    </row>
    <row r="165" spans="1:14" hidden="1" x14ac:dyDescent="0.2">
      <c r="A165" t="s">
        <v>42</v>
      </c>
      <c r="B165" s="9"/>
      <c r="C165" s="9">
        <v>32</v>
      </c>
      <c r="D165" s="10">
        <f>(B165+C165)/($B$173+$C$173)</f>
        <v>1.2988003954847204E-5</v>
      </c>
      <c r="E165" s="10" t="str">
        <f>IF(AND(B165&lt;&gt;0,C165&lt;&gt;0),(C165-B165)/B165,"")</f>
        <v/>
      </c>
      <c r="F165" s="12"/>
      <c r="G165" s="12">
        <v>32</v>
      </c>
      <c r="H165" s="13">
        <f>(F165+G165)/($F$173+$G$173)</f>
        <v>2.381273073233821E-5</v>
      </c>
      <c r="I165" s="13" t="str">
        <f>IF(AND(F165&lt;&gt;0,G165&lt;&gt;0),(G165-F165)/F165,"")</f>
        <v/>
      </c>
      <c r="J165" s="15"/>
      <c r="K165" s="15">
        <v>1</v>
      </c>
      <c r="L165" s="16">
        <f>(J165+K165)/($J$173+$K$173)</f>
        <v>1.1333692233587397E-6</v>
      </c>
      <c r="M165" s="16" t="str">
        <f>IF(AND(J165&lt;&gt;0,K165&lt;&gt;0),(K165-J165)/J165,"")</f>
        <v/>
      </c>
      <c r="N165"/>
    </row>
    <row r="166" spans="1:14" hidden="1" x14ac:dyDescent="0.2">
      <c r="A166" t="s">
        <v>125</v>
      </c>
      <c r="B166" s="9"/>
      <c r="C166" s="9">
        <v>3532</v>
      </c>
      <c r="D166" s="10">
        <f>(B166+C166)/($B$173+$C$173)</f>
        <v>1.4335509365162602E-3</v>
      </c>
      <c r="E166" s="10" t="str">
        <f>IF(AND(B166&lt;&gt;0,C166&lt;&gt;0),(C166-B166)/B166,"")</f>
        <v/>
      </c>
      <c r="F166" s="12"/>
      <c r="G166" s="12">
        <v>3532</v>
      </c>
      <c r="H166" s="13">
        <f>(F166+G166)/($F$173+$G$173)</f>
        <v>2.6283301545818299E-3</v>
      </c>
      <c r="I166" s="13" t="str">
        <f>IF(AND(F166&lt;&gt;0,G166&lt;&gt;0),(G166-F166)/F166,"")</f>
        <v/>
      </c>
      <c r="J166" s="15"/>
      <c r="K166" s="15">
        <v>2646</v>
      </c>
      <c r="L166" s="16">
        <f>(J166+K166)/($J$173+$K$173)</f>
        <v>2.9988949650072254E-3</v>
      </c>
      <c r="M166" s="16" t="str">
        <f>IF(AND(J166&lt;&gt;0,K166&lt;&gt;0),(K166-J166)/J166,"")</f>
        <v/>
      </c>
      <c r="N166"/>
    </row>
    <row r="167" spans="1:14" hidden="1" x14ac:dyDescent="0.2">
      <c r="A167" t="s">
        <v>30</v>
      </c>
      <c r="B167" s="9"/>
      <c r="C167" s="9">
        <v>997</v>
      </c>
      <c r="D167" s="10">
        <f>(B167+C167)/($B$173+$C$173)</f>
        <v>4.0465749821820822E-4</v>
      </c>
      <c r="E167" s="10" t="str">
        <f>IF(AND(B167&lt;&gt;0,C167&lt;&gt;0),(C167-B167)/B167,"")</f>
        <v/>
      </c>
      <c r="F167" s="12"/>
      <c r="G167" s="12">
        <v>997</v>
      </c>
      <c r="H167" s="13">
        <f>(F167+G167)/($F$173+$G$173)</f>
        <v>7.4191539187941238E-4</v>
      </c>
      <c r="I167" s="13" t="str">
        <f>IF(AND(F167&lt;&gt;0,G167&lt;&gt;0),(G167-F167)/F167,"")</f>
        <v/>
      </c>
      <c r="J167" s="15"/>
      <c r="K167" s="15">
        <v>658</v>
      </c>
      <c r="L167" s="16">
        <f>(J167+K167)/($J$173+$K$173)</f>
        <v>7.4575694897005074E-4</v>
      </c>
      <c r="M167" s="16" t="str">
        <f>IF(AND(J167&lt;&gt;0,K167&lt;&gt;0),(K167-J167)/J167,"")</f>
        <v/>
      </c>
      <c r="N167"/>
    </row>
    <row r="168" spans="1:14" hidden="1" x14ac:dyDescent="0.2">
      <c r="A168" t="s">
        <v>67</v>
      </c>
      <c r="B168" s="9"/>
      <c r="C168" s="9">
        <v>43</v>
      </c>
      <c r="D168" s="10">
        <f>(B168+C168)/($B$173+$C$173)</f>
        <v>1.7452630314325932E-5</v>
      </c>
      <c r="E168" s="10" t="str">
        <f>IF(AND(B168&lt;&gt;0,C168&lt;&gt;0),(C168-B168)/B168,"")</f>
        <v/>
      </c>
      <c r="F168" s="12"/>
      <c r="G168" s="12">
        <v>38</v>
      </c>
      <c r="H168" s="13">
        <f>(F168+G168)/($F$173+$G$173)</f>
        <v>2.8277617744651623E-5</v>
      </c>
      <c r="I168" s="13" t="str">
        <f>IF(AND(F168&lt;&gt;0,G168&lt;&gt;0),(G168-F168)/F168,"")</f>
        <v/>
      </c>
      <c r="J168" s="15"/>
      <c r="K168" s="15">
        <v>4</v>
      </c>
      <c r="L168" s="16">
        <f>(J168+K168)/($J$173+$K$173)</f>
        <v>4.5334768934349588E-6</v>
      </c>
      <c r="M168" s="16" t="str">
        <f>IF(AND(J168&lt;&gt;0,K168&lt;&gt;0),(K168-J168)/J168,"")</f>
        <v/>
      </c>
      <c r="N168"/>
    </row>
    <row r="169" spans="1:14" hidden="1" x14ac:dyDescent="0.2">
      <c r="A169" t="s">
        <v>10</v>
      </c>
      <c r="B169" s="9"/>
      <c r="C169" s="9">
        <v>36</v>
      </c>
      <c r="D169" s="10">
        <f>(B169+C169)/($B$173+$C$173)</f>
        <v>1.4611504449203105E-5</v>
      </c>
      <c r="E169" s="10" t="str">
        <f>IF(AND(B169&lt;&gt;0,C169&lt;&gt;0),(C169-B169)/B169,"")</f>
        <v/>
      </c>
      <c r="F169" s="12"/>
      <c r="G169" s="12">
        <v>36</v>
      </c>
      <c r="H169" s="13">
        <f>(F169+G169)/($F$173+$G$173)</f>
        <v>2.6789322073880485E-5</v>
      </c>
      <c r="I169" s="13" t="str">
        <f>IF(AND(F169&lt;&gt;0,G169&lt;&gt;0),(G169-F169)/F169,"")</f>
        <v/>
      </c>
      <c r="J169" s="15"/>
      <c r="K169" s="15">
        <v>2</v>
      </c>
      <c r="L169" s="16">
        <f>(J169+K169)/($J$173+$K$173)</f>
        <v>2.2667384467174794E-6</v>
      </c>
      <c r="M169" s="16" t="str">
        <f>IF(AND(J169&lt;&gt;0,K169&lt;&gt;0),(K169-J169)/J169,"")</f>
        <v/>
      </c>
      <c r="N169"/>
    </row>
    <row r="170" spans="1:14" hidden="1" x14ac:dyDescent="0.2">
      <c r="A170"/>
      <c r="B170"/>
      <c r="C170"/>
      <c r="D170"/>
      <c r="E170"/>
      <c r="F170"/>
      <c r="G170"/>
      <c r="H170" s="13">
        <f>(F170+G170)/($F$173+$G$173)</f>
        <v>0</v>
      </c>
      <c r="I170"/>
      <c r="J170"/>
      <c r="K170"/>
      <c r="L170" s="16">
        <f>(J170+K170)/($J$173+$K$173)</f>
        <v>0</v>
      </c>
      <c r="M170"/>
      <c r="N170"/>
    </row>
    <row r="171" spans="1:14" hidden="1" x14ac:dyDescent="0.2">
      <c r="A171"/>
      <c r="B171"/>
      <c r="C171"/>
      <c r="D171"/>
      <c r="E171"/>
      <c r="F171"/>
      <c r="G171"/>
      <c r="H171" s="13">
        <f>(F171+G171)/($F$173+$G$173)</f>
        <v>0</v>
      </c>
      <c r="I171"/>
      <c r="J171"/>
      <c r="K171"/>
      <c r="L171" s="16">
        <f>(J171+K171)/($J$173+$K$173)</f>
        <v>0</v>
      </c>
      <c r="M171"/>
      <c r="N171"/>
    </row>
    <row r="172" spans="1:14" hidden="1" x14ac:dyDescent="0.2">
      <c r="A172"/>
      <c r="B172"/>
      <c r="C172"/>
      <c r="D172"/>
      <c r="E172"/>
      <c r="F172"/>
      <c r="G172"/>
      <c r="H172" s="13">
        <f>(F172+G172)/($F$173+$G$173)</f>
        <v>0</v>
      </c>
      <c r="I172"/>
      <c r="J172"/>
      <c r="K172"/>
      <c r="L172" s="16">
        <f>(J172+K172)/($J$173+$K$173)</f>
        <v>0</v>
      </c>
      <c r="M172"/>
      <c r="N172"/>
    </row>
    <row r="173" spans="1:14" hidden="1" x14ac:dyDescent="0.2">
      <c r="A173"/>
      <c r="B173" s="9">
        <f>SUM(B3:B169)</f>
        <v>1082522</v>
      </c>
      <c r="C173" s="9">
        <f>SUM(C3:C169)</f>
        <v>1381290</v>
      </c>
      <c r="D173" s="10">
        <f>(B173+C173)/($B$173+$C$173)</f>
        <v>1</v>
      </c>
      <c r="E173" s="9"/>
      <c r="F173" s="12">
        <f>SUM(F3:F169)</f>
        <v>559699</v>
      </c>
      <c r="G173" s="12">
        <f>SUM(G3:G169)</f>
        <v>784120</v>
      </c>
      <c r="H173" s="12"/>
      <c r="I173" s="12"/>
      <c r="J173" s="15">
        <f>SUM(J3:J169)</f>
        <v>364243</v>
      </c>
      <c r="K173" s="15">
        <f>SUM(K3:K169)</f>
        <v>518082</v>
      </c>
      <c r="L173" s="15"/>
      <c r="M173" s="15"/>
      <c r="N173"/>
    </row>
  </sheetData>
  <autoFilter ref="A2:M173" xr:uid="{B6C98A1B-20A9-434D-BF43-9C33964D3F31}">
    <filterColumn colId="7">
      <filters>
        <filter val="1%"/>
        <filter val="10%"/>
        <filter val="12%"/>
        <filter val="2%"/>
        <filter val="3%"/>
        <filter val="5%"/>
        <filter val="6%"/>
        <filter val="8%"/>
        <filter val="9%"/>
      </filters>
    </filterColumn>
    <filterColumn colId="8">
      <customFilters>
        <customFilter operator="notEqual" val=" "/>
      </customFilters>
    </filterColumn>
    <sortState xmlns:xlrd2="http://schemas.microsoft.com/office/spreadsheetml/2017/richdata2" ref="A3:M105">
      <sortCondition descending="1" ref="I2:I173"/>
    </sortState>
  </autoFilter>
  <mergeCells count="3">
    <mergeCell ref="B1:E1"/>
    <mergeCell ref="J1:M1"/>
    <mergeCell ref="F1:I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R2301"/>
  <sheetViews>
    <sheetView zoomScale="150" zoomScaleNormal="150" workbookViewId="0">
      <selection activeCell="D15" sqref="D15"/>
    </sheetView>
  </sheetViews>
  <sheetFormatPr baseColWidth="10" defaultRowHeight="16" x14ac:dyDescent="0.2"/>
  <cols>
    <col min="2" max="2" width="57.1640625" bestFit="1" customWidth="1"/>
    <col min="9" max="9" width="17" bestFit="1" customWidth="1"/>
    <col min="10" max="10" width="21" bestFit="1" customWidth="1"/>
    <col min="11" max="11" width="10.5" bestFit="1" customWidth="1"/>
    <col min="12" max="12" width="10.83203125" bestFit="1" customWidth="1"/>
    <col min="13" max="13" width="21.83203125" bestFit="1" customWidth="1"/>
    <col min="14" max="14" width="10.5" bestFit="1" customWidth="1"/>
    <col min="15" max="15" width="23.6640625" bestFit="1" customWidth="1"/>
    <col min="16" max="16" width="16.1640625" bestFit="1" customWidth="1"/>
    <col min="17" max="17" width="10.5" bestFit="1" customWidth="1"/>
    <col min="18" max="18" width="18" bestFit="1" customWidth="1"/>
    <col min="19" max="19" width="21.83203125" bestFit="1" customWidth="1"/>
    <col min="20" max="20" width="10.5" bestFit="1" customWidth="1"/>
    <col min="21" max="21" width="23.6640625" bestFit="1" customWidth="1"/>
    <col min="22" max="22" width="22.6640625" bestFit="1" customWidth="1"/>
    <col min="23" max="23" width="10.5" bestFit="1" customWidth="1"/>
    <col min="24" max="24" width="24.6640625" bestFit="1" customWidth="1"/>
    <col min="25" max="25" width="18.6640625" bestFit="1" customWidth="1"/>
    <col min="26" max="26" width="10.5" bestFit="1" customWidth="1"/>
    <col min="27" max="27" width="20.33203125" bestFit="1" customWidth="1"/>
    <col min="28" max="28" width="14.1640625" bestFit="1" customWidth="1"/>
    <col min="29" max="29" width="10.5" bestFit="1" customWidth="1"/>
    <col min="30" max="30" width="15.83203125" bestFit="1" customWidth="1"/>
    <col min="31" max="31" width="15.1640625" bestFit="1" customWidth="1"/>
    <col min="32" max="32" width="10.5" bestFit="1" customWidth="1"/>
    <col min="33" max="33" width="17" bestFit="1" customWidth="1"/>
    <col min="34" max="34" width="12.33203125" bestFit="1" customWidth="1"/>
    <col min="35" max="35" width="10.5" bestFit="1" customWidth="1"/>
    <col min="36" max="36" width="14.33203125" bestFit="1" customWidth="1"/>
    <col min="37" max="37" width="25.5" bestFit="1" customWidth="1"/>
    <col min="38" max="38" width="10.5" bestFit="1" customWidth="1"/>
    <col min="39" max="39" width="27.33203125" bestFit="1" customWidth="1"/>
    <col min="40" max="40" width="11.33203125" bestFit="1" customWidth="1"/>
    <col min="41" max="41" width="10.5" bestFit="1" customWidth="1"/>
    <col min="42" max="42" width="13" bestFit="1" customWidth="1"/>
    <col min="43" max="43" width="18" bestFit="1" customWidth="1"/>
    <col min="44" max="44" width="10.5" bestFit="1" customWidth="1"/>
    <col min="45" max="45" width="20.1640625" bestFit="1" customWidth="1"/>
    <col min="46" max="46" width="20.5" bestFit="1" customWidth="1"/>
    <col min="47" max="47" width="10.5" bestFit="1" customWidth="1"/>
    <col min="48" max="48" width="22.5" bestFit="1" customWidth="1"/>
    <col min="49" max="49" width="25.5" bestFit="1" customWidth="1"/>
    <col min="50" max="50" width="10.5" bestFit="1" customWidth="1"/>
    <col min="51" max="51" width="27.33203125" bestFit="1" customWidth="1"/>
    <col min="52" max="52" width="14.6640625" bestFit="1" customWidth="1"/>
    <col min="53" max="53" width="10.5" bestFit="1" customWidth="1"/>
    <col min="54" max="54" width="16.33203125" bestFit="1" customWidth="1"/>
    <col min="55" max="55" width="32.1640625" bestFit="1" customWidth="1"/>
    <col min="56" max="56" width="10.5" bestFit="1" customWidth="1"/>
    <col min="57" max="57" width="34" bestFit="1" customWidth="1"/>
    <col min="58" max="58" width="10.83203125" bestFit="1" customWidth="1"/>
    <col min="59" max="59" width="7" bestFit="1" customWidth="1"/>
    <col min="60" max="60" width="8.6640625" bestFit="1" customWidth="1"/>
    <col min="61" max="61" width="12.6640625" bestFit="1" customWidth="1"/>
    <col min="62" max="62" width="13.33203125" bestFit="1" customWidth="1"/>
    <col min="63" max="63" width="17.1640625" bestFit="1" customWidth="1"/>
    <col min="64" max="64" width="15" bestFit="1" customWidth="1"/>
    <col min="65" max="65" width="19.33203125" bestFit="1" customWidth="1"/>
    <col min="66" max="66" width="15.5" bestFit="1" customWidth="1"/>
    <col min="67" max="67" width="25.6640625" bestFit="1" customWidth="1"/>
    <col min="68" max="68" width="15.6640625" bestFit="1" customWidth="1"/>
    <col min="69" max="69" width="6.83203125" bestFit="1" customWidth="1"/>
    <col min="70" max="70" width="5.5" bestFit="1" customWidth="1"/>
    <col min="71" max="71" width="8.83203125" bestFit="1" customWidth="1"/>
    <col min="72" max="72" width="10" bestFit="1" customWidth="1"/>
    <col min="73" max="73" width="14.5" bestFit="1" customWidth="1"/>
    <col min="74" max="74" width="9.33203125" bestFit="1" customWidth="1"/>
    <col min="75" max="75" width="30.5" bestFit="1" customWidth="1"/>
    <col min="76" max="76" width="13" bestFit="1" customWidth="1"/>
    <col min="77" max="77" width="10.1640625" bestFit="1" customWidth="1"/>
    <col min="78" max="78" width="15.6640625" bestFit="1" customWidth="1"/>
    <col min="79" max="79" width="27" bestFit="1" customWidth="1"/>
    <col min="80" max="80" width="25.5" bestFit="1" customWidth="1"/>
    <col min="81" max="81" width="35.83203125" bestFit="1" customWidth="1"/>
    <col min="82" max="82" width="24.5" bestFit="1" customWidth="1"/>
    <col min="83" max="83" width="13.1640625" bestFit="1" customWidth="1"/>
    <col min="84" max="84" width="12.6640625" bestFit="1" customWidth="1"/>
    <col min="85" max="85" width="29.1640625" bestFit="1" customWidth="1"/>
    <col min="86" max="86" width="11" bestFit="1" customWidth="1"/>
    <col min="87" max="87" width="8.1640625" bestFit="1" customWidth="1"/>
    <col min="89" max="89" width="21.83203125" bestFit="1" customWidth="1"/>
    <col min="90" max="90" width="24.1640625" bestFit="1" customWidth="1"/>
    <col min="91" max="91" width="12" bestFit="1" customWidth="1"/>
    <col min="92" max="92" width="8.1640625" bestFit="1" customWidth="1"/>
    <col min="93" max="93" width="20" bestFit="1" customWidth="1"/>
    <col min="94" max="94" width="19" bestFit="1" customWidth="1"/>
    <col min="95" max="95" width="28.33203125" bestFit="1" customWidth="1"/>
    <col min="96" max="96" width="29.1640625" bestFit="1" customWidth="1"/>
    <col min="97" max="97" width="7.5" bestFit="1" customWidth="1"/>
    <col min="98" max="98" width="15.5" bestFit="1" customWidth="1"/>
    <col min="99" max="99" width="5.6640625" bestFit="1" customWidth="1"/>
    <col min="100" max="100" width="29.6640625" bestFit="1" customWidth="1"/>
    <col min="101" max="101" width="25.1640625" bestFit="1" customWidth="1"/>
    <col min="102" max="102" width="34.1640625" bestFit="1" customWidth="1"/>
    <col min="103" max="103" width="20.33203125" bestFit="1" customWidth="1"/>
    <col min="104" max="104" width="23.33203125" bestFit="1" customWidth="1"/>
    <col min="105" max="105" width="11.5" bestFit="1" customWidth="1"/>
    <col min="106" max="106" width="12.83203125" bestFit="1" customWidth="1"/>
    <col min="107" max="107" width="13.5" bestFit="1" customWidth="1"/>
    <col min="108" max="108" width="14" bestFit="1" customWidth="1"/>
    <col min="109" max="109" width="11" bestFit="1" customWidth="1"/>
    <col min="110" max="110" width="9.83203125" bestFit="1" customWidth="1"/>
    <col min="111" max="111" width="11.6640625" bestFit="1" customWidth="1"/>
    <col min="112" max="112" width="13.5" bestFit="1" customWidth="1"/>
    <col min="113" max="113" width="13.6640625" bestFit="1" customWidth="1"/>
    <col min="114" max="114" width="10" bestFit="1" customWidth="1"/>
    <col min="116" max="116" width="25.33203125" bestFit="1" customWidth="1"/>
    <col min="117" max="117" width="15.5" bestFit="1" customWidth="1"/>
    <col min="118" max="118" width="5.5" bestFit="1" customWidth="1"/>
    <col min="119" max="119" width="11.6640625" bestFit="1" customWidth="1"/>
    <col min="120" max="120" width="13.5" bestFit="1" customWidth="1"/>
    <col min="121" max="122" width="18.83203125" bestFit="1" customWidth="1"/>
    <col min="123" max="123" width="11.1640625" bestFit="1" customWidth="1"/>
    <col min="124" max="124" width="13.1640625" bestFit="1" customWidth="1"/>
    <col min="125" max="125" width="19.83203125" bestFit="1" customWidth="1"/>
    <col min="126" max="126" width="15.6640625" bestFit="1" customWidth="1"/>
    <col min="127" max="127" width="12.1640625" bestFit="1" customWidth="1"/>
    <col min="128" max="128" width="22.5" bestFit="1" customWidth="1"/>
    <col min="129" max="129" width="9.6640625" bestFit="1" customWidth="1"/>
    <col min="130" max="130" width="15.33203125" bestFit="1" customWidth="1"/>
    <col min="131" max="131" width="8.33203125" bestFit="1" customWidth="1"/>
    <col min="132" max="132" width="11.6640625" bestFit="1" customWidth="1"/>
    <col min="133" max="133" width="29.1640625" bestFit="1" customWidth="1"/>
    <col min="134" max="134" width="22.5" bestFit="1" customWidth="1"/>
    <col min="135" max="135" width="17.6640625" bestFit="1" customWidth="1"/>
    <col min="136" max="136" width="14.83203125" bestFit="1" customWidth="1"/>
    <col min="137" max="137" width="38.6640625" bestFit="1" customWidth="1"/>
    <col min="138" max="138" width="16.5" bestFit="1" customWidth="1"/>
    <col min="139" max="139" width="8" bestFit="1" customWidth="1"/>
    <col min="140" max="140" width="10.1640625" bestFit="1" customWidth="1"/>
    <col min="141" max="141" width="8" bestFit="1" customWidth="1"/>
    <col min="142" max="142" width="32.83203125" bestFit="1" customWidth="1"/>
    <col min="143" max="143" width="9.83203125" bestFit="1" customWidth="1"/>
    <col min="144" max="144" width="11.5" bestFit="1" customWidth="1"/>
    <col min="145" max="145" width="14.6640625" bestFit="1" customWidth="1"/>
    <col min="146" max="146" width="13.6640625" bestFit="1" customWidth="1"/>
    <col min="147" max="147" width="12.6640625" bestFit="1" customWidth="1"/>
    <col min="148" max="148" width="34.1640625" bestFit="1" customWidth="1"/>
    <col min="149" max="149" width="15.6640625" bestFit="1" customWidth="1"/>
    <col min="150" max="150" width="27" bestFit="1" customWidth="1"/>
    <col min="151" max="151" width="13.1640625" bestFit="1" customWidth="1"/>
    <col min="152" max="152" width="11.6640625" bestFit="1" customWidth="1"/>
    <col min="153" max="153" width="7" bestFit="1" customWidth="1"/>
    <col min="154" max="154" width="23" bestFit="1" customWidth="1"/>
    <col min="155" max="155" width="13.6640625" bestFit="1" customWidth="1"/>
    <col min="156" max="156" width="9.6640625" bestFit="1" customWidth="1"/>
    <col min="157" max="157" width="13.5" bestFit="1" customWidth="1"/>
    <col min="158" max="158" width="34.33203125" bestFit="1" customWidth="1"/>
    <col min="159" max="159" width="28.33203125" bestFit="1" customWidth="1"/>
    <col min="160" max="160" width="22.83203125" bestFit="1" customWidth="1"/>
    <col min="161" max="161" width="10.5" bestFit="1" customWidth="1"/>
    <col min="162" max="162" width="10.1640625" bestFit="1" customWidth="1"/>
    <col min="163" max="163" width="13.83203125" bestFit="1" customWidth="1"/>
    <col min="164" max="164" width="17.1640625" bestFit="1" customWidth="1"/>
    <col min="165" max="165" width="31.6640625" bestFit="1" customWidth="1"/>
    <col min="166" max="166" width="10.1640625" bestFit="1" customWidth="1"/>
    <col min="167" max="167" width="24.1640625" bestFit="1" customWidth="1"/>
    <col min="168" max="168" width="10.6640625" bestFit="1" customWidth="1"/>
    <col min="169" max="169" width="29.6640625" bestFit="1" customWidth="1"/>
    <col min="170" max="170" width="10.6640625" bestFit="1" customWidth="1"/>
    <col min="171" max="171" width="18.33203125" bestFit="1" customWidth="1"/>
    <col min="172" max="172" width="13.33203125" bestFit="1" customWidth="1"/>
    <col min="173" max="173" width="15.6640625" bestFit="1" customWidth="1"/>
    <col min="174" max="174" width="12.6640625" bestFit="1" customWidth="1"/>
    <col min="175" max="175" width="13.33203125" bestFit="1" customWidth="1"/>
    <col min="176" max="176" width="13.83203125" bestFit="1" customWidth="1"/>
    <col min="177" max="177" width="8.6640625" bestFit="1" customWidth="1"/>
    <col min="178" max="178" width="12.83203125" bestFit="1" customWidth="1"/>
    <col min="179" max="179" width="25.33203125" bestFit="1" customWidth="1"/>
    <col min="180" max="180" width="48.33203125" bestFit="1" customWidth="1"/>
    <col min="181" max="181" width="8.1640625" bestFit="1" customWidth="1"/>
    <col min="182" max="182" width="27" bestFit="1" customWidth="1"/>
    <col min="183" max="183" width="10" bestFit="1" customWidth="1"/>
    <col min="184" max="184" width="28.33203125" bestFit="1" customWidth="1"/>
    <col min="185" max="185" width="11" bestFit="1" customWidth="1"/>
    <col min="186" max="186" width="16" bestFit="1" customWidth="1"/>
    <col min="187" max="187" width="7" bestFit="1" customWidth="1"/>
    <col min="188" max="188" width="28.33203125" bestFit="1" customWidth="1"/>
    <col min="189" max="189" width="15.6640625" bestFit="1" customWidth="1"/>
    <col min="190" max="190" width="14" bestFit="1" customWidth="1"/>
    <col min="191" max="191" width="11.1640625" bestFit="1" customWidth="1"/>
    <col min="192" max="192" width="8.6640625" bestFit="1" customWidth="1"/>
    <col min="193" max="193" width="7" bestFit="1" customWidth="1"/>
    <col min="194" max="194" width="36.6640625" bestFit="1" customWidth="1"/>
    <col min="195" max="195" width="10.1640625" bestFit="1" customWidth="1"/>
    <col min="196" max="196" width="15" bestFit="1" customWidth="1"/>
    <col min="197" max="197" width="25.5" bestFit="1" customWidth="1"/>
    <col min="198" max="198" width="25.1640625" bestFit="1" customWidth="1"/>
    <col min="199" max="199" width="35" bestFit="1" customWidth="1"/>
    <col min="200" max="200" width="13" bestFit="1" customWidth="1"/>
    <col min="201" max="201" width="18.6640625" bestFit="1" customWidth="1"/>
    <col min="202" max="202" width="29.6640625" bestFit="1" customWidth="1"/>
    <col min="203" max="203" width="29.1640625" bestFit="1" customWidth="1"/>
    <col min="204" max="204" width="8.1640625" bestFit="1" customWidth="1"/>
    <col min="205" max="205" width="33.33203125" bestFit="1" customWidth="1"/>
    <col min="206" max="206" width="7.5" bestFit="1" customWidth="1"/>
    <col min="207" max="207" width="20.33203125" bestFit="1" customWidth="1"/>
    <col min="208" max="208" width="13.33203125" bestFit="1" customWidth="1"/>
    <col min="209" max="209" width="7.33203125" bestFit="1" customWidth="1"/>
    <col min="210" max="210" width="12" bestFit="1" customWidth="1"/>
    <col min="212" max="212" width="12.6640625" bestFit="1" customWidth="1"/>
    <col min="213" max="213" width="13.5" bestFit="1" customWidth="1"/>
    <col min="214" max="214" width="7" bestFit="1" customWidth="1"/>
    <col min="215" max="215" width="13.1640625" bestFit="1" customWidth="1"/>
    <col min="216" max="216" width="12" bestFit="1" customWidth="1"/>
    <col min="217" max="217" width="15" bestFit="1" customWidth="1"/>
    <col min="218" max="218" width="8.83203125" bestFit="1" customWidth="1"/>
    <col min="219" max="219" width="25.6640625" bestFit="1" customWidth="1"/>
    <col min="220" max="220" width="16.6640625" bestFit="1" customWidth="1"/>
    <col min="221" max="221" width="30.5" bestFit="1" customWidth="1"/>
    <col min="222" max="222" width="21.83203125" bestFit="1" customWidth="1"/>
    <col min="223" max="223" width="7" bestFit="1" customWidth="1"/>
    <col min="224" max="224" width="9.33203125" bestFit="1" customWidth="1"/>
    <col min="225" max="225" width="20" bestFit="1" customWidth="1"/>
    <col min="226" max="226" width="22.33203125" bestFit="1" customWidth="1"/>
    <col min="227" max="227" width="23.33203125" bestFit="1" customWidth="1"/>
    <col min="228" max="228" width="15.5" bestFit="1" customWidth="1"/>
    <col min="229" max="229" width="19" bestFit="1" customWidth="1"/>
    <col min="230" max="230" width="22.83203125" bestFit="1" customWidth="1"/>
    <col min="231" max="231" width="5.5" bestFit="1" customWidth="1"/>
    <col min="232" max="232" width="18.6640625" bestFit="1" customWidth="1"/>
    <col min="233" max="233" width="17.5" bestFit="1" customWidth="1"/>
    <col min="234" max="234" width="10" bestFit="1" customWidth="1"/>
    <col min="235" max="235" width="19.1640625" bestFit="1" customWidth="1"/>
    <col min="236" max="236" width="15.5" bestFit="1" customWidth="1"/>
    <col min="237" max="237" width="16" bestFit="1" customWidth="1"/>
    <col min="238" max="238" width="20.6640625" bestFit="1" customWidth="1"/>
    <col min="239" max="239" width="14.6640625" bestFit="1" customWidth="1"/>
    <col min="240" max="240" width="17.6640625" bestFit="1" customWidth="1"/>
    <col min="241" max="241" width="10.1640625" bestFit="1" customWidth="1"/>
    <col min="242" max="242" width="23.1640625" bestFit="1" customWidth="1"/>
    <col min="243" max="243" width="12.33203125" bestFit="1" customWidth="1"/>
    <col min="244" max="244" width="13" bestFit="1" customWidth="1"/>
    <col min="245" max="245" width="15" bestFit="1" customWidth="1"/>
    <col min="246" max="246" width="24.1640625" bestFit="1" customWidth="1"/>
    <col min="247" max="247" width="33.33203125" bestFit="1" customWidth="1"/>
    <col min="248" max="248" width="13.1640625" bestFit="1" customWidth="1"/>
    <col min="249" max="249" width="35.83203125" bestFit="1" customWidth="1"/>
    <col min="250" max="250" width="14.5" bestFit="1" customWidth="1"/>
    <col min="251" max="251" width="9.6640625" bestFit="1" customWidth="1"/>
    <col min="252" max="252" width="19.33203125" bestFit="1" customWidth="1"/>
    <col min="253" max="253" width="8.1640625" bestFit="1" customWidth="1"/>
    <col min="254" max="254" width="34" bestFit="1" customWidth="1"/>
    <col min="255" max="255" width="20.83203125" bestFit="1" customWidth="1"/>
    <col min="256" max="256" width="8.1640625" bestFit="1" customWidth="1"/>
    <col min="257" max="257" width="24.5" bestFit="1" customWidth="1"/>
    <col min="258" max="258" width="12.83203125" bestFit="1" customWidth="1"/>
    <col min="259" max="259" width="20.1640625" bestFit="1" customWidth="1"/>
    <col min="260" max="260" width="16.5" bestFit="1" customWidth="1"/>
    <col min="261" max="261" width="18.83203125" bestFit="1" customWidth="1"/>
    <col min="262" max="262" width="12.5" bestFit="1" customWidth="1"/>
    <col min="263" max="263" width="11" bestFit="1" customWidth="1"/>
    <col min="264" max="264" width="58.5" bestFit="1" customWidth="1"/>
    <col min="265" max="265" width="9.6640625" bestFit="1" customWidth="1"/>
    <col min="266" max="266" width="7.6640625" bestFit="1" customWidth="1"/>
    <col min="268" max="268" width="29.83203125" bestFit="1" customWidth="1"/>
    <col min="269" max="269" width="23" bestFit="1" customWidth="1"/>
    <col min="270" max="270" width="23.83203125" bestFit="1" customWidth="1"/>
    <col min="271" max="271" width="12.6640625" bestFit="1" customWidth="1"/>
    <col min="272" max="272" width="10.1640625" bestFit="1" customWidth="1"/>
    <col min="273" max="273" width="28" bestFit="1" customWidth="1"/>
    <col min="274" max="274" width="24.33203125" bestFit="1" customWidth="1"/>
    <col min="275" max="275" width="34.83203125" bestFit="1" customWidth="1"/>
    <col min="276" max="276" width="5.1640625" bestFit="1" customWidth="1"/>
    <col min="277" max="277" width="13.5" bestFit="1" customWidth="1"/>
    <col min="278" max="278" width="17.83203125" bestFit="1" customWidth="1"/>
    <col min="279" max="279" width="19.83203125" bestFit="1" customWidth="1"/>
    <col min="280" max="280" width="16.33203125" bestFit="1" customWidth="1"/>
    <col min="281" max="281" width="7.1640625" bestFit="1" customWidth="1"/>
    <col min="282" max="282" width="35.33203125" bestFit="1" customWidth="1"/>
    <col min="283" max="283" width="9" bestFit="1" customWidth="1"/>
    <col min="284" max="284" width="15.5" bestFit="1" customWidth="1"/>
    <col min="285" max="285" width="13.1640625" bestFit="1" customWidth="1"/>
    <col min="286" max="286" width="7.5" bestFit="1" customWidth="1"/>
    <col min="287" max="287" width="15.1640625" bestFit="1" customWidth="1"/>
  </cols>
  <sheetData>
    <row r="1" spans="1:12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I1" s="1" t="s">
        <v>1</v>
      </c>
      <c r="J1" t="s">
        <v>22</v>
      </c>
    </row>
    <row r="2" spans="1:12" x14ac:dyDescent="0.2">
      <c r="A2">
        <v>20200721</v>
      </c>
      <c r="B2" t="s">
        <v>71</v>
      </c>
      <c r="C2" t="s">
        <v>7</v>
      </c>
      <c r="D2">
        <v>369</v>
      </c>
      <c r="E2">
        <v>369</v>
      </c>
      <c r="F2">
        <v>221</v>
      </c>
    </row>
    <row r="3" spans="1:12" x14ac:dyDescent="0.2">
      <c r="A3">
        <v>20200721</v>
      </c>
      <c r="B3" t="s">
        <v>71</v>
      </c>
      <c r="C3" t="s">
        <v>9</v>
      </c>
      <c r="D3">
        <v>379</v>
      </c>
      <c r="E3">
        <v>379</v>
      </c>
      <c r="F3">
        <v>224</v>
      </c>
      <c r="I3" s="1" t="s">
        <v>179</v>
      </c>
      <c r="J3" s="1" t="s">
        <v>178</v>
      </c>
    </row>
    <row r="4" spans="1:12" x14ac:dyDescent="0.2">
      <c r="A4">
        <v>20200721</v>
      </c>
      <c r="B4" t="s">
        <v>151</v>
      </c>
      <c r="C4" t="s">
        <v>9</v>
      </c>
      <c r="D4">
        <v>14</v>
      </c>
      <c r="E4">
        <v>14</v>
      </c>
      <c r="F4">
        <v>7</v>
      </c>
      <c r="I4" s="1" t="s">
        <v>175</v>
      </c>
      <c r="J4" t="s">
        <v>7</v>
      </c>
      <c r="K4" t="s">
        <v>9</v>
      </c>
      <c r="L4" t="s">
        <v>176</v>
      </c>
    </row>
    <row r="5" spans="1:12" x14ac:dyDescent="0.2">
      <c r="A5">
        <v>20200721</v>
      </c>
      <c r="B5" t="s">
        <v>45</v>
      </c>
      <c r="C5" t="s">
        <v>7</v>
      </c>
      <c r="D5">
        <v>12</v>
      </c>
      <c r="E5">
        <v>0</v>
      </c>
      <c r="F5">
        <v>0</v>
      </c>
      <c r="I5" s="2">
        <v>20200725</v>
      </c>
      <c r="J5" s="3">
        <v>6446</v>
      </c>
      <c r="K5" s="3">
        <v>5887</v>
      </c>
      <c r="L5" s="3">
        <v>12333</v>
      </c>
    </row>
    <row r="6" spans="1:12" x14ac:dyDescent="0.2">
      <c r="A6">
        <v>20200721</v>
      </c>
      <c r="B6" t="s">
        <v>45</v>
      </c>
      <c r="C6" t="s">
        <v>9</v>
      </c>
      <c r="D6">
        <v>4</v>
      </c>
      <c r="E6">
        <v>0</v>
      </c>
      <c r="F6">
        <v>0</v>
      </c>
      <c r="I6" s="2">
        <v>20200726</v>
      </c>
      <c r="J6" s="3">
        <v>11839</v>
      </c>
      <c r="K6" s="3">
        <v>10211</v>
      </c>
      <c r="L6" s="3">
        <v>22050</v>
      </c>
    </row>
    <row r="7" spans="1:12" x14ac:dyDescent="0.2">
      <c r="A7">
        <v>20200721</v>
      </c>
      <c r="B7" t="s">
        <v>69</v>
      </c>
      <c r="C7" t="s">
        <v>7</v>
      </c>
      <c r="D7">
        <v>29</v>
      </c>
      <c r="E7">
        <v>0</v>
      </c>
      <c r="F7">
        <v>0</v>
      </c>
      <c r="I7" s="2">
        <v>20200727</v>
      </c>
      <c r="J7" s="3">
        <v>8810</v>
      </c>
      <c r="K7" s="3">
        <v>5443</v>
      </c>
      <c r="L7" s="3">
        <v>14253</v>
      </c>
    </row>
    <row r="8" spans="1:12" x14ac:dyDescent="0.2">
      <c r="A8">
        <v>20200721</v>
      </c>
      <c r="B8" t="s">
        <v>69</v>
      </c>
      <c r="C8" t="s">
        <v>9</v>
      </c>
      <c r="D8">
        <v>24</v>
      </c>
      <c r="E8">
        <v>0</v>
      </c>
      <c r="F8">
        <v>0</v>
      </c>
      <c r="I8" s="2">
        <v>20200728</v>
      </c>
      <c r="J8" s="3">
        <v>7305</v>
      </c>
      <c r="K8" s="3">
        <v>4753</v>
      </c>
      <c r="L8" s="3">
        <v>12058</v>
      </c>
    </row>
    <row r="9" spans="1:12" x14ac:dyDescent="0.2">
      <c r="A9">
        <v>20200721</v>
      </c>
      <c r="B9" t="s">
        <v>123</v>
      </c>
      <c r="C9" t="s">
        <v>7</v>
      </c>
      <c r="D9">
        <v>1140</v>
      </c>
      <c r="E9">
        <v>2</v>
      </c>
      <c r="F9">
        <v>0</v>
      </c>
      <c r="I9" s="2">
        <v>20200729</v>
      </c>
      <c r="J9" s="3">
        <v>5758</v>
      </c>
      <c r="K9" s="3">
        <v>4123</v>
      </c>
      <c r="L9" s="3">
        <v>9881</v>
      </c>
    </row>
    <row r="10" spans="1:12" x14ac:dyDescent="0.2">
      <c r="A10">
        <v>20200721</v>
      </c>
      <c r="B10" t="s">
        <v>123</v>
      </c>
      <c r="C10" t="s">
        <v>9</v>
      </c>
      <c r="D10">
        <v>1050</v>
      </c>
      <c r="E10">
        <v>1</v>
      </c>
      <c r="F10">
        <v>1</v>
      </c>
      <c r="I10" s="2">
        <v>20200730</v>
      </c>
      <c r="J10" s="3">
        <v>5935</v>
      </c>
      <c r="K10" s="3">
        <v>4328</v>
      </c>
      <c r="L10" s="3">
        <v>10263</v>
      </c>
    </row>
    <row r="11" spans="1:12" x14ac:dyDescent="0.2">
      <c r="A11">
        <v>20200721</v>
      </c>
      <c r="B11" t="s">
        <v>101</v>
      </c>
      <c r="C11" t="s">
        <v>7</v>
      </c>
      <c r="D11">
        <v>1942</v>
      </c>
      <c r="E11">
        <v>2</v>
      </c>
      <c r="F11">
        <v>1</v>
      </c>
      <c r="I11" s="2">
        <v>20200731</v>
      </c>
      <c r="J11" s="3">
        <v>2482</v>
      </c>
      <c r="K11" s="3">
        <v>1972</v>
      </c>
      <c r="L11" s="3">
        <v>4454</v>
      </c>
    </row>
    <row r="12" spans="1:12" x14ac:dyDescent="0.2">
      <c r="A12">
        <v>20200721</v>
      </c>
      <c r="B12" t="s">
        <v>101</v>
      </c>
      <c r="C12" t="s">
        <v>9</v>
      </c>
      <c r="D12">
        <v>1862</v>
      </c>
      <c r="E12">
        <v>1</v>
      </c>
      <c r="F12">
        <v>0</v>
      </c>
      <c r="I12" s="2">
        <v>20200801</v>
      </c>
      <c r="J12" s="3">
        <v>5958</v>
      </c>
      <c r="K12" s="3">
        <v>4550</v>
      </c>
      <c r="L12" s="3">
        <v>10508</v>
      </c>
    </row>
    <row r="13" spans="1:12" x14ac:dyDescent="0.2">
      <c r="A13">
        <v>20200721</v>
      </c>
      <c r="B13" t="s">
        <v>31</v>
      </c>
      <c r="C13" t="s">
        <v>7</v>
      </c>
      <c r="D13">
        <v>1</v>
      </c>
      <c r="E13">
        <v>1</v>
      </c>
      <c r="F13">
        <v>1</v>
      </c>
      <c r="I13" s="2">
        <v>20200802</v>
      </c>
      <c r="J13" s="3">
        <v>5045</v>
      </c>
      <c r="K13" s="3">
        <v>3828</v>
      </c>
      <c r="L13" s="3">
        <v>8873</v>
      </c>
    </row>
    <row r="14" spans="1:12" x14ac:dyDescent="0.2">
      <c r="A14">
        <v>20200721</v>
      </c>
      <c r="B14" t="s">
        <v>31</v>
      </c>
      <c r="C14" t="s">
        <v>9</v>
      </c>
      <c r="D14">
        <v>197</v>
      </c>
      <c r="E14">
        <v>142</v>
      </c>
      <c r="F14">
        <v>31</v>
      </c>
      <c r="I14" s="2">
        <v>20200803</v>
      </c>
      <c r="J14" s="3">
        <v>4832</v>
      </c>
      <c r="K14" s="3">
        <v>3289</v>
      </c>
      <c r="L14" s="3">
        <v>8121</v>
      </c>
    </row>
    <row r="15" spans="1:12" x14ac:dyDescent="0.2">
      <c r="A15">
        <v>20200721</v>
      </c>
      <c r="B15" t="s">
        <v>152</v>
      </c>
      <c r="C15" t="s">
        <v>7</v>
      </c>
      <c r="D15">
        <v>1</v>
      </c>
      <c r="E15">
        <v>0</v>
      </c>
      <c r="F15">
        <v>0</v>
      </c>
      <c r="I15" s="2">
        <v>20200804</v>
      </c>
      <c r="J15" s="3">
        <v>2834</v>
      </c>
      <c r="K15" s="3">
        <v>2750</v>
      </c>
      <c r="L15" s="3">
        <v>5584</v>
      </c>
    </row>
    <row r="16" spans="1:12" x14ac:dyDescent="0.2">
      <c r="A16">
        <v>20200721</v>
      </c>
      <c r="B16" t="s">
        <v>152</v>
      </c>
      <c r="C16" t="s">
        <v>9</v>
      </c>
      <c r="D16">
        <v>527</v>
      </c>
      <c r="E16">
        <v>421</v>
      </c>
      <c r="F16">
        <v>155</v>
      </c>
      <c r="I16" s="2">
        <v>20200805</v>
      </c>
      <c r="J16" s="3">
        <v>3169</v>
      </c>
      <c r="K16" s="3">
        <v>2578</v>
      </c>
      <c r="L16" s="3">
        <v>5747</v>
      </c>
    </row>
    <row r="17" spans="1:12" x14ac:dyDescent="0.2">
      <c r="A17">
        <v>20200721</v>
      </c>
      <c r="B17" t="s">
        <v>11</v>
      </c>
      <c r="C17" t="s">
        <v>7</v>
      </c>
      <c r="D17">
        <v>19</v>
      </c>
      <c r="E17">
        <v>0</v>
      </c>
      <c r="F17">
        <v>0</v>
      </c>
      <c r="I17" s="2">
        <v>20200806</v>
      </c>
      <c r="J17" s="3">
        <v>2398</v>
      </c>
      <c r="K17" s="3">
        <v>2255</v>
      </c>
      <c r="L17" s="3">
        <v>4653</v>
      </c>
    </row>
    <row r="18" spans="1:12" x14ac:dyDescent="0.2">
      <c r="A18">
        <v>20200721</v>
      </c>
      <c r="B18" t="s">
        <v>11</v>
      </c>
      <c r="C18" t="s">
        <v>9</v>
      </c>
      <c r="D18">
        <v>19</v>
      </c>
      <c r="E18">
        <v>0</v>
      </c>
      <c r="F18">
        <v>0</v>
      </c>
      <c r="I18" s="2">
        <v>20200807</v>
      </c>
      <c r="J18" s="3">
        <v>1198</v>
      </c>
      <c r="K18" s="3">
        <v>1808</v>
      </c>
      <c r="L18" s="3">
        <v>3006</v>
      </c>
    </row>
    <row r="19" spans="1:12" x14ac:dyDescent="0.2">
      <c r="A19">
        <v>20200721</v>
      </c>
      <c r="B19" t="s">
        <v>16</v>
      </c>
      <c r="C19" t="s">
        <v>7</v>
      </c>
      <c r="D19">
        <v>583</v>
      </c>
      <c r="E19">
        <v>583</v>
      </c>
      <c r="F19">
        <v>367</v>
      </c>
      <c r="I19" s="2">
        <v>20200808</v>
      </c>
      <c r="J19" s="3">
        <v>609</v>
      </c>
      <c r="K19" s="3">
        <v>1578</v>
      </c>
      <c r="L19" s="3">
        <v>2187</v>
      </c>
    </row>
    <row r="20" spans="1:12" x14ac:dyDescent="0.2">
      <c r="A20">
        <v>20200721</v>
      </c>
      <c r="B20" t="s">
        <v>16</v>
      </c>
      <c r="C20" t="s">
        <v>9</v>
      </c>
      <c r="D20">
        <v>368</v>
      </c>
      <c r="E20">
        <v>368</v>
      </c>
      <c r="F20">
        <v>238</v>
      </c>
      <c r="I20" s="2">
        <v>20200809</v>
      </c>
      <c r="J20" s="3">
        <v>1349</v>
      </c>
      <c r="K20" s="3">
        <v>1985</v>
      </c>
      <c r="L20" s="3">
        <v>3334</v>
      </c>
    </row>
    <row r="21" spans="1:12" x14ac:dyDescent="0.2">
      <c r="A21">
        <v>20200721</v>
      </c>
      <c r="B21" t="s">
        <v>120</v>
      </c>
      <c r="C21" t="s">
        <v>9</v>
      </c>
      <c r="D21">
        <v>1</v>
      </c>
      <c r="E21">
        <v>1</v>
      </c>
      <c r="F21">
        <v>1</v>
      </c>
      <c r="I21" s="2">
        <v>20200810</v>
      </c>
      <c r="J21" s="3">
        <v>474</v>
      </c>
      <c r="K21" s="3">
        <v>1588</v>
      </c>
      <c r="L21" s="3">
        <v>2062</v>
      </c>
    </row>
    <row r="22" spans="1:12" x14ac:dyDescent="0.2">
      <c r="A22">
        <v>20200721</v>
      </c>
      <c r="B22" t="s">
        <v>6</v>
      </c>
      <c r="C22" t="s">
        <v>7</v>
      </c>
      <c r="D22">
        <v>327</v>
      </c>
      <c r="E22">
        <v>153</v>
      </c>
      <c r="F22">
        <v>92</v>
      </c>
      <c r="I22" s="2">
        <v>20200811</v>
      </c>
      <c r="J22" s="3">
        <v>116</v>
      </c>
      <c r="K22" s="3">
        <v>259</v>
      </c>
      <c r="L22" s="3">
        <v>375</v>
      </c>
    </row>
    <row r="23" spans="1:12" x14ac:dyDescent="0.2">
      <c r="A23">
        <v>20200721</v>
      </c>
      <c r="B23" t="s">
        <v>6</v>
      </c>
      <c r="C23" t="s">
        <v>9</v>
      </c>
      <c r="D23">
        <v>6594</v>
      </c>
      <c r="E23">
        <v>2795</v>
      </c>
      <c r="F23">
        <v>1889</v>
      </c>
      <c r="I23" s="2" t="s">
        <v>176</v>
      </c>
      <c r="J23" s="3">
        <v>76557</v>
      </c>
      <c r="K23" s="3">
        <v>63185</v>
      </c>
      <c r="L23" s="3">
        <v>139742</v>
      </c>
    </row>
    <row r="24" spans="1:12" x14ac:dyDescent="0.2">
      <c r="A24">
        <v>20200721</v>
      </c>
      <c r="B24" t="s">
        <v>41</v>
      </c>
      <c r="C24" t="s">
        <v>7</v>
      </c>
      <c r="D24">
        <v>290</v>
      </c>
      <c r="E24">
        <v>232</v>
      </c>
      <c r="F24">
        <v>77</v>
      </c>
    </row>
    <row r="25" spans="1:12" x14ac:dyDescent="0.2">
      <c r="A25">
        <v>20200721</v>
      </c>
      <c r="B25" t="s">
        <v>41</v>
      </c>
      <c r="C25" t="s">
        <v>9</v>
      </c>
      <c r="D25">
        <v>237</v>
      </c>
      <c r="E25">
        <v>184</v>
      </c>
      <c r="F25">
        <v>74</v>
      </c>
    </row>
    <row r="26" spans="1:12" x14ac:dyDescent="0.2">
      <c r="A26">
        <v>20200721</v>
      </c>
      <c r="B26" t="s">
        <v>164</v>
      </c>
      <c r="C26" t="s">
        <v>9</v>
      </c>
      <c r="D26">
        <v>578</v>
      </c>
      <c r="E26">
        <v>379</v>
      </c>
      <c r="F26">
        <v>172</v>
      </c>
    </row>
    <row r="27" spans="1:12" x14ac:dyDescent="0.2">
      <c r="A27">
        <v>20200721</v>
      </c>
      <c r="B27" t="s">
        <v>61</v>
      </c>
      <c r="C27" t="s">
        <v>9</v>
      </c>
      <c r="D27">
        <v>1</v>
      </c>
      <c r="E27">
        <v>1</v>
      </c>
      <c r="F27">
        <v>1</v>
      </c>
    </row>
    <row r="28" spans="1:12" x14ac:dyDescent="0.2">
      <c r="A28">
        <v>20200721</v>
      </c>
      <c r="B28" t="s">
        <v>20</v>
      </c>
      <c r="C28" t="s">
        <v>7</v>
      </c>
      <c r="D28">
        <v>556</v>
      </c>
      <c r="E28">
        <v>297</v>
      </c>
      <c r="F28">
        <v>146</v>
      </c>
    </row>
    <row r="29" spans="1:12" x14ac:dyDescent="0.2">
      <c r="A29">
        <v>20200721</v>
      </c>
      <c r="B29" t="s">
        <v>20</v>
      </c>
      <c r="C29" t="s">
        <v>9</v>
      </c>
      <c r="D29">
        <v>1049</v>
      </c>
      <c r="E29">
        <v>553</v>
      </c>
      <c r="F29">
        <v>274</v>
      </c>
    </row>
    <row r="30" spans="1:12" x14ac:dyDescent="0.2">
      <c r="A30">
        <v>20200721</v>
      </c>
      <c r="B30" t="s">
        <v>21</v>
      </c>
      <c r="C30" t="s">
        <v>7</v>
      </c>
      <c r="D30">
        <v>851</v>
      </c>
      <c r="E30">
        <v>11</v>
      </c>
      <c r="F30">
        <v>9</v>
      </c>
    </row>
    <row r="31" spans="1:12" x14ac:dyDescent="0.2">
      <c r="A31">
        <v>20200721</v>
      </c>
      <c r="B31" t="s">
        <v>21</v>
      </c>
      <c r="C31" t="s">
        <v>9</v>
      </c>
      <c r="D31">
        <v>832</v>
      </c>
      <c r="E31">
        <v>7</v>
      </c>
      <c r="F31">
        <v>6</v>
      </c>
    </row>
    <row r="32" spans="1:12" x14ac:dyDescent="0.2">
      <c r="A32">
        <v>20200721</v>
      </c>
      <c r="B32" t="s">
        <v>49</v>
      </c>
      <c r="C32" t="s">
        <v>7</v>
      </c>
      <c r="D32">
        <v>67</v>
      </c>
      <c r="E32">
        <v>46</v>
      </c>
      <c r="F32">
        <v>25</v>
      </c>
    </row>
    <row r="33" spans="1:18" x14ac:dyDescent="0.2">
      <c r="A33">
        <v>20200721</v>
      </c>
      <c r="B33" t="s">
        <v>49</v>
      </c>
      <c r="C33" t="s">
        <v>9</v>
      </c>
      <c r="D33">
        <v>426</v>
      </c>
      <c r="E33">
        <v>313</v>
      </c>
      <c r="F33">
        <v>252</v>
      </c>
    </row>
    <row r="34" spans="1:18" x14ac:dyDescent="0.2">
      <c r="A34">
        <v>20200721</v>
      </c>
      <c r="B34" t="s">
        <v>56</v>
      </c>
      <c r="C34" t="s">
        <v>9</v>
      </c>
      <c r="D34">
        <v>164</v>
      </c>
      <c r="E34">
        <v>164</v>
      </c>
      <c r="F34">
        <v>111</v>
      </c>
    </row>
    <row r="35" spans="1:18" x14ac:dyDescent="0.2">
      <c r="A35">
        <v>20200721</v>
      </c>
      <c r="B35" t="s">
        <v>17</v>
      </c>
      <c r="C35" t="s">
        <v>9</v>
      </c>
      <c r="D35">
        <v>407</v>
      </c>
      <c r="E35">
        <v>280</v>
      </c>
      <c r="F35">
        <v>127</v>
      </c>
    </row>
    <row r="36" spans="1:18" x14ac:dyDescent="0.2">
      <c r="A36">
        <v>20200721</v>
      </c>
      <c r="B36" t="s">
        <v>72</v>
      </c>
      <c r="C36" t="s">
        <v>7</v>
      </c>
      <c r="D36">
        <v>314</v>
      </c>
      <c r="E36">
        <v>314</v>
      </c>
      <c r="F36">
        <v>224</v>
      </c>
    </row>
    <row r="37" spans="1:18" x14ac:dyDescent="0.2">
      <c r="A37">
        <v>20200721</v>
      </c>
      <c r="B37" t="s">
        <v>72</v>
      </c>
      <c r="C37" t="s">
        <v>9</v>
      </c>
      <c r="D37">
        <v>1111</v>
      </c>
      <c r="E37">
        <v>1111</v>
      </c>
      <c r="F37">
        <v>897</v>
      </c>
      <c r="R37" s="2" t="s">
        <v>11</v>
      </c>
    </row>
    <row r="38" spans="1:18" x14ac:dyDescent="0.2">
      <c r="A38">
        <v>20200721</v>
      </c>
      <c r="B38" t="s">
        <v>28</v>
      </c>
      <c r="C38" t="s">
        <v>9</v>
      </c>
      <c r="D38">
        <v>64</v>
      </c>
      <c r="E38">
        <v>64</v>
      </c>
      <c r="F38">
        <v>49</v>
      </c>
      <c r="R38" s="2" t="s">
        <v>6</v>
      </c>
    </row>
    <row r="39" spans="1:18" x14ac:dyDescent="0.2">
      <c r="A39">
        <v>20200721</v>
      </c>
      <c r="B39" t="s">
        <v>66</v>
      </c>
      <c r="C39" t="s">
        <v>7</v>
      </c>
      <c r="D39">
        <v>31</v>
      </c>
      <c r="E39">
        <v>16</v>
      </c>
      <c r="F39">
        <v>6</v>
      </c>
      <c r="R39" s="2" t="s">
        <v>22</v>
      </c>
    </row>
    <row r="40" spans="1:18" x14ac:dyDescent="0.2">
      <c r="A40">
        <v>20200721</v>
      </c>
      <c r="B40" t="s">
        <v>66</v>
      </c>
      <c r="C40" t="s">
        <v>9</v>
      </c>
      <c r="D40">
        <v>6</v>
      </c>
      <c r="E40">
        <v>1</v>
      </c>
      <c r="F40">
        <v>0</v>
      </c>
      <c r="R40" s="2" t="s">
        <v>68</v>
      </c>
    </row>
    <row r="41" spans="1:18" x14ac:dyDescent="0.2">
      <c r="A41">
        <v>20200721</v>
      </c>
      <c r="B41" t="s">
        <v>44</v>
      </c>
      <c r="C41" t="s">
        <v>9</v>
      </c>
      <c r="D41">
        <v>1</v>
      </c>
      <c r="E41">
        <v>1</v>
      </c>
      <c r="F41">
        <v>1</v>
      </c>
      <c r="R41" s="2" t="s">
        <v>82</v>
      </c>
    </row>
    <row r="42" spans="1:18" x14ac:dyDescent="0.2">
      <c r="A42">
        <v>20200721</v>
      </c>
      <c r="B42" t="s">
        <v>97</v>
      </c>
      <c r="C42" t="s">
        <v>9</v>
      </c>
      <c r="D42">
        <v>1</v>
      </c>
      <c r="E42">
        <v>1</v>
      </c>
      <c r="F42">
        <v>1</v>
      </c>
      <c r="R42" s="2" t="s">
        <v>93</v>
      </c>
    </row>
    <row r="43" spans="1:18" x14ac:dyDescent="0.2">
      <c r="A43">
        <v>20200721</v>
      </c>
      <c r="B43" t="s">
        <v>76</v>
      </c>
      <c r="C43" t="s">
        <v>7</v>
      </c>
      <c r="D43">
        <v>3090</v>
      </c>
      <c r="E43">
        <v>3090</v>
      </c>
      <c r="F43">
        <v>2331</v>
      </c>
      <c r="R43" s="2" t="s">
        <v>116</v>
      </c>
    </row>
    <row r="44" spans="1:18" x14ac:dyDescent="0.2">
      <c r="A44">
        <v>20200721</v>
      </c>
      <c r="B44" t="s">
        <v>76</v>
      </c>
      <c r="C44" t="s">
        <v>9</v>
      </c>
      <c r="D44">
        <v>1627</v>
      </c>
      <c r="E44">
        <v>1627</v>
      </c>
      <c r="F44">
        <v>1239</v>
      </c>
      <c r="R44" s="2" t="s">
        <v>13</v>
      </c>
    </row>
    <row r="45" spans="1:18" x14ac:dyDescent="0.2">
      <c r="A45">
        <v>20200721</v>
      </c>
      <c r="B45" t="s">
        <v>62</v>
      </c>
      <c r="C45" t="s">
        <v>9</v>
      </c>
      <c r="D45">
        <v>16</v>
      </c>
      <c r="E45">
        <v>15</v>
      </c>
      <c r="F45">
        <v>8</v>
      </c>
      <c r="R45" s="2" t="s">
        <v>41</v>
      </c>
    </row>
    <row r="46" spans="1:18" x14ac:dyDescent="0.2">
      <c r="A46">
        <v>20200721</v>
      </c>
      <c r="B46" t="s">
        <v>53</v>
      </c>
      <c r="C46" t="s">
        <v>9</v>
      </c>
      <c r="D46">
        <v>45</v>
      </c>
      <c r="E46">
        <v>45</v>
      </c>
      <c r="F46">
        <v>28</v>
      </c>
      <c r="R46" s="2" t="s">
        <v>45</v>
      </c>
    </row>
    <row r="47" spans="1:18" x14ac:dyDescent="0.2">
      <c r="A47">
        <v>20200721</v>
      </c>
      <c r="B47" t="s">
        <v>64</v>
      </c>
      <c r="C47" t="s">
        <v>9</v>
      </c>
      <c r="D47">
        <v>2</v>
      </c>
      <c r="E47">
        <v>2</v>
      </c>
      <c r="F47">
        <v>2</v>
      </c>
      <c r="R47" s="2" t="s">
        <v>101</v>
      </c>
    </row>
    <row r="48" spans="1:18" x14ac:dyDescent="0.2">
      <c r="A48">
        <v>20200721</v>
      </c>
      <c r="B48" t="s">
        <v>74</v>
      </c>
      <c r="C48" t="s">
        <v>9</v>
      </c>
      <c r="D48">
        <v>40</v>
      </c>
      <c r="E48">
        <v>40</v>
      </c>
      <c r="F48">
        <v>8</v>
      </c>
      <c r="R48" s="2" t="s">
        <v>34</v>
      </c>
    </row>
    <row r="49" spans="1:18" x14ac:dyDescent="0.2">
      <c r="A49">
        <v>20200721</v>
      </c>
      <c r="B49" t="s">
        <v>85</v>
      </c>
      <c r="C49" t="s">
        <v>9</v>
      </c>
      <c r="D49">
        <v>1</v>
      </c>
      <c r="E49">
        <v>1</v>
      </c>
      <c r="F49">
        <v>1</v>
      </c>
      <c r="R49" s="2" t="s">
        <v>55</v>
      </c>
    </row>
    <row r="50" spans="1:18" x14ac:dyDescent="0.2">
      <c r="A50">
        <v>20200721</v>
      </c>
      <c r="B50" t="s">
        <v>126</v>
      </c>
      <c r="C50" t="s">
        <v>9</v>
      </c>
      <c r="D50">
        <v>1</v>
      </c>
      <c r="E50">
        <v>1</v>
      </c>
      <c r="F50">
        <v>1</v>
      </c>
      <c r="R50" s="2" t="s">
        <v>48</v>
      </c>
    </row>
    <row r="51" spans="1:18" x14ac:dyDescent="0.2">
      <c r="A51">
        <v>20200721</v>
      </c>
      <c r="B51" t="s">
        <v>13</v>
      </c>
      <c r="C51" t="s">
        <v>7</v>
      </c>
      <c r="D51">
        <v>4704</v>
      </c>
      <c r="E51">
        <v>4704</v>
      </c>
      <c r="F51">
        <v>3440</v>
      </c>
      <c r="R51" s="2" t="s">
        <v>100</v>
      </c>
    </row>
    <row r="52" spans="1:18" x14ac:dyDescent="0.2">
      <c r="A52">
        <v>20200721</v>
      </c>
      <c r="B52" t="s">
        <v>13</v>
      </c>
      <c r="C52" t="s">
        <v>9</v>
      </c>
      <c r="D52">
        <v>3855</v>
      </c>
      <c r="E52">
        <v>3855</v>
      </c>
      <c r="F52">
        <v>2846</v>
      </c>
      <c r="R52" s="2" t="s">
        <v>16</v>
      </c>
    </row>
    <row r="53" spans="1:18" x14ac:dyDescent="0.2">
      <c r="A53">
        <v>20200721</v>
      </c>
      <c r="B53" t="s">
        <v>32</v>
      </c>
      <c r="C53" t="s">
        <v>9</v>
      </c>
      <c r="D53">
        <v>1</v>
      </c>
      <c r="E53">
        <v>1</v>
      </c>
      <c r="F53">
        <v>1</v>
      </c>
    </row>
    <row r="54" spans="1:18" x14ac:dyDescent="0.2">
      <c r="A54">
        <v>20200721</v>
      </c>
      <c r="B54" t="s">
        <v>139</v>
      </c>
      <c r="C54" t="s">
        <v>7</v>
      </c>
      <c r="D54">
        <v>164</v>
      </c>
      <c r="E54">
        <v>4</v>
      </c>
      <c r="F54">
        <v>2</v>
      </c>
    </row>
    <row r="55" spans="1:18" x14ac:dyDescent="0.2">
      <c r="A55">
        <v>20200721</v>
      </c>
      <c r="B55" t="s">
        <v>139</v>
      </c>
      <c r="C55" t="s">
        <v>9</v>
      </c>
      <c r="D55">
        <v>207</v>
      </c>
      <c r="E55">
        <v>5</v>
      </c>
      <c r="F55">
        <v>4</v>
      </c>
    </row>
    <row r="56" spans="1:18" x14ac:dyDescent="0.2">
      <c r="A56">
        <v>20200721</v>
      </c>
      <c r="B56" t="s">
        <v>100</v>
      </c>
      <c r="C56" t="s">
        <v>7</v>
      </c>
      <c r="D56">
        <v>2628</v>
      </c>
      <c r="E56">
        <v>2628</v>
      </c>
      <c r="F56">
        <v>1494</v>
      </c>
    </row>
    <row r="57" spans="1:18" x14ac:dyDescent="0.2">
      <c r="A57">
        <v>20200721</v>
      </c>
      <c r="B57" t="s">
        <v>100</v>
      </c>
      <c r="C57" t="s">
        <v>9</v>
      </c>
      <c r="D57">
        <v>1370</v>
      </c>
      <c r="E57">
        <v>1370</v>
      </c>
      <c r="F57">
        <v>817</v>
      </c>
    </row>
    <row r="58" spans="1:18" x14ac:dyDescent="0.2">
      <c r="A58">
        <v>20200721</v>
      </c>
      <c r="B58" t="s">
        <v>112</v>
      </c>
      <c r="C58" t="s">
        <v>9</v>
      </c>
      <c r="D58">
        <v>1</v>
      </c>
      <c r="E58">
        <v>1</v>
      </c>
      <c r="F58">
        <v>1</v>
      </c>
    </row>
    <row r="59" spans="1:18" x14ac:dyDescent="0.2">
      <c r="A59">
        <v>20200721</v>
      </c>
      <c r="B59" t="s">
        <v>86</v>
      </c>
      <c r="C59" t="s">
        <v>7</v>
      </c>
      <c r="D59">
        <v>89</v>
      </c>
      <c r="E59">
        <v>75</v>
      </c>
      <c r="F59">
        <v>59</v>
      </c>
    </row>
    <row r="60" spans="1:18" x14ac:dyDescent="0.2">
      <c r="A60">
        <v>20200721</v>
      </c>
      <c r="B60" t="s">
        <v>86</v>
      </c>
      <c r="C60" t="s">
        <v>9</v>
      </c>
      <c r="D60">
        <v>80</v>
      </c>
      <c r="E60">
        <v>62</v>
      </c>
      <c r="F60">
        <v>46</v>
      </c>
    </row>
    <row r="61" spans="1:18" x14ac:dyDescent="0.2">
      <c r="A61">
        <v>20200721</v>
      </c>
      <c r="B61" t="s">
        <v>140</v>
      </c>
      <c r="C61" t="s">
        <v>9</v>
      </c>
      <c r="D61">
        <v>118</v>
      </c>
      <c r="E61">
        <v>28</v>
      </c>
      <c r="F61">
        <v>7</v>
      </c>
    </row>
    <row r="62" spans="1:18" x14ac:dyDescent="0.2">
      <c r="A62">
        <v>20200721</v>
      </c>
      <c r="B62" t="s">
        <v>26</v>
      </c>
      <c r="C62" t="s">
        <v>9</v>
      </c>
      <c r="D62">
        <v>5</v>
      </c>
      <c r="E62">
        <v>0</v>
      </c>
      <c r="F62">
        <v>0</v>
      </c>
    </row>
    <row r="63" spans="1:18" x14ac:dyDescent="0.2">
      <c r="A63">
        <v>20200721</v>
      </c>
      <c r="B63" t="s">
        <v>113</v>
      </c>
      <c r="C63" t="s">
        <v>9</v>
      </c>
      <c r="D63">
        <v>1</v>
      </c>
      <c r="E63">
        <v>0</v>
      </c>
      <c r="F63">
        <v>0</v>
      </c>
    </row>
    <row r="64" spans="1:18" x14ac:dyDescent="0.2">
      <c r="A64">
        <v>20200721</v>
      </c>
      <c r="B64" t="s">
        <v>59</v>
      </c>
      <c r="C64" t="s">
        <v>9</v>
      </c>
      <c r="D64">
        <v>1</v>
      </c>
      <c r="E64">
        <v>1</v>
      </c>
      <c r="F64">
        <v>1</v>
      </c>
    </row>
    <row r="65" spans="1:6" x14ac:dyDescent="0.2">
      <c r="A65">
        <v>20200721</v>
      </c>
      <c r="B65" t="s">
        <v>169</v>
      </c>
      <c r="C65" t="s">
        <v>9</v>
      </c>
      <c r="D65">
        <v>556</v>
      </c>
      <c r="E65">
        <v>556</v>
      </c>
      <c r="F65">
        <v>243</v>
      </c>
    </row>
    <row r="66" spans="1:6" x14ac:dyDescent="0.2">
      <c r="A66">
        <v>20200721</v>
      </c>
      <c r="B66" t="s">
        <v>54</v>
      </c>
      <c r="C66" t="s">
        <v>7</v>
      </c>
      <c r="D66">
        <v>9</v>
      </c>
      <c r="E66">
        <v>9</v>
      </c>
      <c r="F66">
        <v>5</v>
      </c>
    </row>
    <row r="67" spans="1:6" x14ac:dyDescent="0.2">
      <c r="A67">
        <v>20200721</v>
      </c>
      <c r="B67" t="s">
        <v>54</v>
      </c>
      <c r="C67" t="s">
        <v>9</v>
      </c>
      <c r="D67">
        <v>1284</v>
      </c>
      <c r="E67">
        <v>1008</v>
      </c>
      <c r="F67">
        <v>444</v>
      </c>
    </row>
    <row r="68" spans="1:6" x14ac:dyDescent="0.2">
      <c r="A68">
        <v>20200721</v>
      </c>
      <c r="B68" t="s">
        <v>92</v>
      </c>
      <c r="C68" t="s">
        <v>9</v>
      </c>
      <c r="D68">
        <v>629</v>
      </c>
      <c r="E68">
        <v>414</v>
      </c>
      <c r="F68">
        <v>153</v>
      </c>
    </row>
    <row r="69" spans="1:6" x14ac:dyDescent="0.2">
      <c r="A69">
        <v>20200721</v>
      </c>
      <c r="B69" t="s">
        <v>75</v>
      </c>
      <c r="C69" t="s">
        <v>9</v>
      </c>
      <c r="D69">
        <v>53</v>
      </c>
      <c r="E69">
        <v>53</v>
      </c>
      <c r="F69">
        <v>43</v>
      </c>
    </row>
    <row r="70" spans="1:6" x14ac:dyDescent="0.2">
      <c r="A70">
        <v>20200721</v>
      </c>
      <c r="B70" t="s">
        <v>137</v>
      </c>
      <c r="C70" t="s">
        <v>9</v>
      </c>
      <c r="D70">
        <v>1</v>
      </c>
      <c r="E70">
        <v>1</v>
      </c>
      <c r="F70">
        <v>1</v>
      </c>
    </row>
    <row r="71" spans="1:6" x14ac:dyDescent="0.2">
      <c r="A71">
        <v>20200721</v>
      </c>
      <c r="B71" t="s">
        <v>8</v>
      </c>
      <c r="C71" t="s">
        <v>9</v>
      </c>
      <c r="D71">
        <v>1</v>
      </c>
      <c r="E71">
        <v>1</v>
      </c>
      <c r="F71">
        <v>0</v>
      </c>
    </row>
    <row r="72" spans="1:6" x14ac:dyDescent="0.2">
      <c r="A72">
        <v>20200721</v>
      </c>
      <c r="B72" t="s">
        <v>103</v>
      </c>
      <c r="C72" t="s">
        <v>7</v>
      </c>
      <c r="D72">
        <v>420</v>
      </c>
      <c r="E72">
        <v>420</v>
      </c>
      <c r="F72">
        <v>337</v>
      </c>
    </row>
    <row r="73" spans="1:6" x14ac:dyDescent="0.2">
      <c r="A73">
        <v>20200721</v>
      </c>
      <c r="B73" t="s">
        <v>103</v>
      </c>
      <c r="C73" t="s">
        <v>9</v>
      </c>
      <c r="D73">
        <v>185</v>
      </c>
      <c r="E73">
        <v>185</v>
      </c>
      <c r="F73">
        <v>152</v>
      </c>
    </row>
    <row r="74" spans="1:6" x14ac:dyDescent="0.2">
      <c r="A74">
        <v>20200721</v>
      </c>
      <c r="B74" t="s">
        <v>168</v>
      </c>
      <c r="C74" t="s">
        <v>9</v>
      </c>
      <c r="D74">
        <v>3</v>
      </c>
      <c r="E74">
        <v>0</v>
      </c>
      <c r="F74">
        <v>0</v>
      </c>
    </row>
    <row r="75" spans="1:6" x14ac:dyDescent="0.2">
      <c r="A75">
        <v>20200721</v>
      </c>
      <c r="B75" t="s">
        <v>138</v>
      </c>
      <c r="C75" t="s">
        <v>9</v>
      </c>
      <c r="D75">
        <v>261</v>
      </c>
      <c r="E75">
        <v>162</v>
      </c>
      <c r="F75">
        <v>64</v>
      </c>
    </row>
    <row r="76" spans="1:6" x14ac:dyDescent="0.2">
      <c r="A76">
        <v>20200721</v>
      </c>
      <c r="B76" t="s">
        <v>47</v>
      </c>
      <c r="C76" t="s">
        <v>9</v>
      </c>
      <c r="D76">
        <v>2</v>
      </c>
      <c r="E76">
        <v>2</v>
      </c>
      <c r="F76">
        <v>0</v>
      </c>
    </row>
    <row r="77" spans="1:6" x14ac:dyDescent="0.2">
      <c r="A77">
        <v>20200721</v>
      </c>
      <c r="B77" t="s">
        <v>141</v>
      </c>
      <c r="C77" t="s">
        <v>9</v>
      </c>
      <c r="D77">
        <v>1988</v>
      </c>
      <c r="E77">
        <v>1518</v>
      </c>
      <c r="F77">
        <v>715</v>
      </c>
    </row>
    <row r="78" spans="1:6" x14ac:dyDescent="0.2">
      <c r="A78">
        <v>20200721</v>
      </c>
      <c r="B78" t="s">
        <v>60</v>
      </c>
      <c r="C78" t="s">
        <v>9</v>
      </c>
      <c r="D78">
        <v>1</v>
      </c>
      <c r="E78">
        <v>1</v>
      </c>
      <c r="F78">
        <v>1</v>
      </c>
    </row>
    <row r="79" spans="1:6" x14ac:dyDescent="0.2">
      <c r="A79">
        <v>20200721</v>
      </c>
      <c r="B79" t="s">
        <v>114</v>
      </c>
      <c r="C79" t="s">
        <v>9</v>
      </c>
      <c r="D79">
        <v>375</v>
      </c>
      <c r="E79">
        <v>375</v>
      </c>
      <c r="F79">
        <v>258</v>
      </c>
    </row>
    <row r="80" spans="1:6" x14ac:dyDescent="0.2">
      <c r="A80">
        <v>20200721</v>
      </c>
      <c r="B80" t="s">
        <v>171</v>
      </c>
      <c r="C80" t="s">
        <v>9</v>
      </c>
      <c r="D80">
        <v>10</v>
      </c>
      <c r="E80">
        <v>8</v>
      </c>
      <c r="F80">
        <v>2</v>
      </c>
    </row>
    <row r="81" spans="1:6" x14ac:dyDescent="0.2">
      <c r="A81">
        <v>20200721</v>
      </c>
      <c r="B81" t="s">
        <v>83</v>
      </c>
      <c r="C81" t="s">
        <v>7</v>
      </c>
      <c r="D81">
        <v>672</v>
      </c>
      <c r="E81">
        <v>672</v>
      </c>
      <c r="F81">
        <v>400</v>
      </c>
    </row>
    <row r="82" spans="1:6" x14ac:dyDescent="0.2">
      <c r="A82">
        <v>20200721</v>
      </c>
      <c r="B82" t="s">
        <v>83</v>
      </c>
      <c r="C82" t="s">
        <v>9</v>
      </c>
      <c r="D82">
        <v>645</v>
      </c>
      <c r="E82">
        <v>645</v>
      </c>
      <c r="F82">
        <v>425</v>
      </c>
    </row>
    <row r="83" spans="1:6" x14ac:dyDescent="0.2">
      <c r="A83">
        <v>20200721</v>
      </c>
      <c r="B83" t="s">
        <v>104</v>
      </c>
      <c r="C83" t="s">
        <v>7</v>
      </c>
      <c r="D83">
        <v>622</v>
      </c>
      <c r="E83">
        <v>622</v>
      </c>
      <c r="F83">
        <v>351</v>
      </c>
    </row>
    <row r="84" spans="1:6" x14ac:dyDescent="0.2">
      <c r="A84">
        <v>20200721</v>
      </c>
      <c r="B84" t="s">
        <v>104</v>
      </c>
      <c r="C84" t="s">
        <v>9</v>
      </c>
      <c r="D84">
        <v>1236</v>
      </c>
      <c r="E84">
        <v>1236</v>
      </c>
      <c r="F84">
        <v>657</v>
      </c>
    </row>
    <row r="85" spans="1:6" x14ac:dyDescent="0.2">
      <c r="A85">
        <v>20200721</v>
      </c>
      <c r="B85" t="s">
        <v>42</v>
      </c>
      <c r="C85" t="s">
        <v>9</v>
      </c>
      <c r="D85">
        <v>1</v>
      </c>
      <c r="E85">
        <v>1</v>
      </c>
      <c r="F85">
        <v>1</v>
      </c>
    </row>
    <row r="86" spans="1:6" x14ac:dyDescent="0.2">
      <c r="A86">
        <v>20200721</v>
      </c>
      <c r="B86" t="s">
        <v>125</v>
      </c>
      <c r="C86" t="s">
        <v>9</v>
      </c>
      <c r="D86">
        <v>77</v>
      </c>
      <c r="E86">
        <v>77</v>
      </c>
      <c r="F86">
        <v>50</v>
      </c>
    </row>
    <row r="87" spans="1:6" x14ac:dyDescent="0.2">
      <c r="A87">
        <v>20200721</v>
      </c>
      <c r="B87" t="s">
        <v>81</v>
      </c>
      <c r="C87" t="s">
        <v>7</v>
      </c>
      <c r="D87">
        <v>577</v>
      </c>
      <c r="E87">
        <v>2</v>
      </c>
      <c r="F87">
        <v>2</v>
      </c>
    </row>
    <row r="88" spans="1:6" x14ac:dyDescent="0.2">
      <c r="A88">
        <v>20200721</v>
      </c>
      <c r="B88" t="s">
        <v>81</v>
      </c>
      <c r="C88" t="s">
        <v>9</v>
      </c>
      <c r="D88">
        <v>550</v>
      </c>
      <c r="E88">
        <v>2</v>
      </c>
      <c r="F88">
        <v>2</v>
      </c>
    </row>
    <row r="89" spans="1:6" x14ac:dyDescent="0.2">
      <c r="A89">
        <v>20200721</v>
      </c>
      <c r="B89" t="s">
        <v>14</v>
      </c>
      <c r="C89" t="s">
        <v>7</v>
      </c>
      <c r="D89">
        <v>482</v>
      </c>
      <c r="E89">
        <v>482</v>
      </c>
      <c r="F89">
        <v>388</v>
      </c>
    </row>
    <row r="90" spans="1:6" x14ac:dyDescent="0.2">
      <c r="A90">
        <v>20200721</v>
      </c>
      <c r="B90" t="s">
        <v>14</v>
      </c>
      <c r="C90" t="s">
        <v>9</v>
      </c>
      <c r="D90">
        <v>518</v>
      </c>
      <c r="E90">
        <v>518</v>
      </c>
      <c r="F90">
        <v>396</v>
      </c>
    </row>
    <row r="91" spans="1:6" x14ac:dyDescent="0.2">
      <c r="A91">
        <v>20200721</v>
      </c>
      <c r="B91" t="s">
        <v>146</v>
      </c>
      <c r="C91" t="s">
        <v>9</v>
      </c>
      <c r="D91">
        <v>687</v>
      </c>
      <c r="E91">
        <v>453</v>
      </c>
      <c r="F91">
        <v>258</v>
      </c>
    </row>
    <row r="92" spans="1:6" x14ac:dyDescent="0.2">
      <c r="A92">
        <v>20200721</v>
      </c>
      <c r="B92" t="s">
        <v>48</v>
      </c>
      <c r="C92" t="s">
        <v>7</v>
      </c>
      <c r="D92">
        <v>90</v>
      </c>
      <c r="E92">
        <v>90</v>
      </c>
      <c r="F92">
        <v>67</v>
      </c>
    </row>
    <row r="93" spans="1:6" x14ac:dyDescent="0.2">
      <c r="A93">
        <v>20200721</v>
      </c>
      <c r="B93" t="s">
        <v>48</v>
      </c>
      <c r="C93" t="s">
        <v>9</v>
      </c>
      <c r="D93">
        <v>1908</v>
      </c>
      <c r="E93">
        <v>1908</v>
      </c>
      <c r="F93">
        <v>1266</v>
      </c>
    </row>
    <row r="94" spans="1:6" x14ac:dyDescent="0.2">
      <c r="A94">
        <v>20200721</v>
      </c>
      <c r="B94" t="s">
        <v>115</v>
      </c>
      <c r="C94" t="s">
        <v>9</v>
      </c>
      <c r="D94">
        <v>24</v>
      </c>
      <c r="E94">
        <v>24</v>
      </c>
      <c r="F94">
        <v>14</v>
      </c>
    </row>
    <row r="95" spans="1:6" x14ac:dyDescent="0.2">
      <c r="A95">
        <v>20200721</v>
      </c>
      <c r="B95" t="s">
        <v>93</v>
      </c>
      <c r="C95" t="s">
        <v>7</v>
      </c>
      <c r="D95">
        <v>15353</v>
      </c>
      <c r="E95">
        <v>15353</v>
      </c>
      <c r="F95">
        <v>12499</v>
      </c>
    </row>
    <row r="96" spans="1:6" x14ac:dyDescent="0.2">
      <c r="A96">
        <v>20200721</v>
      </c>
      <c r="B96" t="s">
        <v>93</v>
      </c>
      <c r="C96" t="s">
        <v>9</v>
      </c>
      <c r="D96">
        <v>11944</v>
      </c>
      <c r="E96">
        <v>11944</v>
      </c>
      <c r="F96">
        <v>9801</v>
      </c>
    </row>
    <row r="97" spans="1:6" x14ac:dyDescent="0.2">
      <c r="A97">
        <v>20200721</v>
      </c>
      <c r="B97" t="s">
        <v>30</v>
      </c>
      <c r="C97" t="s">
        <v>9</v>
      </c>
      <c r="D97">
        <v>21</v>
      </c>
      <c r="E97">
        <v>21</v>
      </c>
      <c r="F97">
        <v>6</v>
      </c>
    </row>
    <row r="98" spans="1:6" x14ac:dyDescent="0.2">
      <c r="A98">
        <v>20200721</v>
      </c>
      <c r="B98" t="s">
        <v>67</v>
      </c>
      <c r="C98" t="s">
        <v>9</v>
      </c>
      <c r="D98">
        <v>1</v>
      </c>
      <c r="E98">
        <v>1</v>
      </c>
      <c r="F98">
        <v>1</v>
      </c>
    </row>
    <row r="99" spans="1:6" x14ac:dyDescent="0.2">
      <c r="A99">
        <v>20200721</v>
      </c>
      <c r="B99" t="s">
        <v>15</v>
      </c>
      <c r="C99" t="s">
        <v>9</v>
      </c>
      <c r="D99">
        <v>40</v>
      </c>
      <c r="E99">
        <v>40</v>
      </c>
      <c r="F99">
        <v>28</v>
      </c>
    </row>
    <row r="100" spans="1:6" x14ac:dyDescent="0.2">
      <c r="A100">
        <v>20200721</v>
      </c>
      <c r="B100" t="s">
        <v>55</v>
      </c>
      <c r="C100" t="s">
        <v>9</v>
      </c>
      <c r="D100">
        <v>186</v>
      </c>
      <c r="E100">
        <v>186</v>
      </c>
      <c r="F100">
        <v>127</v>
      </c>
    </row>
    <row r="101" spans="1:6" x14ac:dyDescent="0.2">
      <c r="A101">
        <v>20200721</v>
      </c>
      <c r="B101" t="s">
        <v>10</v>
      </c>
      <c r="C101" t="s">
        <v>9</v>
      </c>
      <c r="D101">
        <v>1</v>
      </c>
      <c r="E101">
        <v>1</v>
      </c>
      <c r="F101">
        <v>1</v>
      </c>
    </row>
    <row r="102" spans="1:6" x14ac:dyDescent="0.2">
      <c r="A102">
        <v>20200721</v>
      </c>
      <c r="B102" t="s">
        <v>111</v>
      </c>
      <c r="C102" t="s">
        <v>9</v>
      </c>
      <c r="D102">
        <v>169</v>
      </c>
      <c r="E102">
        <v>169</v>
      </c>
      <c r="F102">
        <v>107</v>
      </c>
    </row>
    <row r="103" spans="1:6" x14ac:dyDescent="0.2">
      <c r="A103">
        <v>20200721</v>
      </c>
      <c r="B103" t="s">
        <v>46</v>
      </c>
      <c r="C103" t="s">
        <v>9</v>
      </c>
      <c r="D103">
        <v>29</v>
      </c>
      <c r="E103">
        <v>29</v>
      </c>
      <c r="F103">
        <v>20</v>
      </c>
    </row>
    <row r="104" spans="1:6" x14ac:dyDescent="0.2">
      <c r="A104">
        <v>20200721</v>
      </c>
      <c r="C104" t="s">
        <v>7</v>
      </c>
      <c r="D104">
        <v>11216</v>
      </c>
      <c r="E104">
        <v>0</v>
      </c>
      <c r="F104">
        <v>0</v>
      </c>
    </row>
    <row r="105" spans="1:6" x14ac:dyDescent="0.2">
      <c r="A105">
        <v>20200721</v>
      </c>
      <c r="C105" t="s">
        <v>9</v>
      </c>
      <c r="D105">
        <v>10990</v>
      </c>
      <c r="E105">
        <v>0</v>
      </c>
      <c r="F105">
        <v>0</v>
      </c>
    </row>
    <row r="106" spans="1:6" x14ac:dyDescent="0.2">
      <c r="A106">
        <v>20200722</v>
      </c>
      <c r="B106" t="s">
        <v>71</v>
      </c>
      <c r="C106" t="s">
        <v>7</v>
      </c>
      <c r="D106">
        <v>271</v>
      </c>
      <c r="E106">
        <v>271</v>
      </c>
      <c r="F106">
        <v>153</v>
      </c>
    </row>
    <row r="107" spans="1:6" x14ac:dyDescent="0.2">
      <c r="A107">
        <v>20200722</v>
      </c>
      <c r="B107" t="s">
        <v>71</v>
      </c>
      <c r="C107" t="s">
        <v>9</v>
      </c>
      <c r="D107">
        <v>307</v>
      </c>
      <c r="E107">
        <v>307</v>
      </c>
      <c r="F107">
        <v>217</v>
      </c>
    </row>
    <row r="108" spans="1:6" x14ac:dyDescent="0.2">
      <c r="A108">
        <v>20200722</v>
      </c>
      <c r="B108" t="s">
        <v>151</v>
      </c>
      <c r="C108" t="s">
        <v>9</v>
      </c>
      <c r="D108">
        <v>16</v>
      </c>
      <c r="E108">
        <v>16</v>
      </c>
      <c r="F108">
        <v>5</v>
      </c>
    </row>
    <row r="109" spans="1:6" x14ac:dyDescent="0.2">
      <c r="A109">
        <v>20200722</v>
      </c>
      <c r="B109" t="s">
        <v>132</v>
      </c>
      <c r="C109" t="s">
        <v>7</v>
      </c>
      <c r="D109">
        <v>2</v>
      </c>
      <c r="E109">
        <v>2</v>
      </c>
      <c r="F109">
        <v>0</v>
      </c>
    </row>
    <row r="110" spans="1:6" x14ac:dyDescent="0.2">
      <c r="A110">
        <v>20200722</v>
      </c>
      <c r="B110" t="s">
        <v>132</v>
      </c>
      <c r="C110" t="s">
        <v>9</v>
      </c>
      <c r="D110">
        <v>3873</v>
      </c>
      <c r="E110">
        <v>2755</v>
      </c>
      <c r="F110">
        <v>1559</v>
      </c>
    </row>
    <row r="111" spans="1:6" x14ac:dyDescent="0.2">
      <c r="A111">
        <v>20200722</v>
      </c>
      <c r="B111" t="s">
        <v>45</v>
      </c>
      <c r="C111" t="s">
        <v>7</v>
      </c>
      <c r="D111">
        <v>1670</v>
      </c>
      <c r="E111">
        <v>5</v>
      </c>
      <c r="F111">
        <v>1</v>
      </c>
    </row>
    <row r="112" spans="1:6" x14ac:dyDescent="0.2">
      <c r="A112">
        <v>20200722</v>
      </c>
      <c r="B112" t="s">
        <v>45</v>
      </c>
      <c r="C112" t="s">
        <v>9</v>
      </c>
      <c r="D112">
        <v>1591</v>
      </c>
      <c r="E112">
        <v>5</v>
      </c>
      <c r="F112">
        <v>3</v>
      </c>
    </row>
    <row r="113" spans="1:6" x14ac:dyDescent="0.2">
      <c r="A113">
        <v>20200722</v>
      </c>
      <c r="B113" t="s">
        <v>69</v>
      </c>
      <c r="C113" t="s">
        <v>7</v>
      </c>
      <c r="D113">
        <v>627</v>
      </c>
      <c r="E113">
        <v>3</v>
      </c>
      <c r="F113">
        <v>2</v>
      </c>
    </row>
    <row r="114" spans="1:6" x14ac:dyDescent="0.2">
      <c r="A114">
        <v>20200722</v>
      </c>
      <c r="B114" t="s">
        <v>69</v>
      </c>
      <c r="C114" t="s">
        <v>9</v>
      </c>
      <c r="D114">
        <v>541</v>
      </c>
      <c r="E114">
        <v>1</v>
      </c>
      <c r="F114">
        <v>0</v>
      </c>
    </row>
    <row r="115" spans="1:6" x14ac:dyDescent="0.2">
      <c r="A115">
        <v>20200722</v>
      </c>
      <c r="B115" t="s">
        <v>123</v>
      </c>
      <c r="C115" t="s">
        <v>7</v>
      </c>
      <c r="D115">
        <v>909</v>
      </c>
      <c r="E115">
        <v>0</v>
      </c>
      <c r="F115">
        <v>0</v>
      </c>
    </row>
    <row r="116" spans="1:6" x14ac:dyDescent="0.2">
      <c r="A116">
        <v>20200722</v>
      </c>
      <c r="B116" t="s">
        <v>123</v>
      </c>
      <c r="C116" t="s">
        <v>9</v>
      </c>
      <c r="D116">
        <v>906</v>
      </c>
      <c r="E116">
        <v>3</v>
      </c>
      <c r="F116">
        <v>2</v>
      </c>
    </row>
    <row r="117" spans="1:6" x14ac:dyDescent="0.2">
      <c r="A117">
        <v>20200722</v>
      </c>
      <c r="B117" t="s">
        <v>101</v>
      </c>
      <c r="C117" t="s">
        <v>7</v>
      </c>
      <c r="D117">
        <v>1579</v>
      </c>
      <c r="E117">
        <v>9</v>
      </c>
      <c r="F117">
        <v>7</v>
      </c>
    </row>
    <row r="118" spans="1:6" x14ac:dyDescent="0.2">
      <c r="A118">
        <v>20200722</v>
      </c>
      <c r="B118" t="s">
        <v>101</v>
      </c>
      <c r="C118" t="s">
        <v>9</v>
      </c>
      <c r="D118">
        <v>1625</v>
      </c>
      <c r="E118">
        <v>8</v>
      </c>
      <c r="F118">
        <v>1</v>
      </c>
    </row>
    <row r="119" spans="1:6" x14ac:dyDescent="0.2">
      <c r="A119">
        <v>20200722</v>
      </c>
      <c r="B119" t="s">
        <v>31</v>
      </c>
      <c r="C119" t="s">
        <v>9</v>
      </c>
      <c r="D119">
        <v>158</v>
      </c>
      <c r="E119">
        <v>117</v>
      </c>
      <c r="F119">
        <v>13</v>
      </c>
    </row>
    <row r="120" spans="1:6" x14ac:dyDescent="0.2">
      <c r="A120">
        <v>20200722</v>
      </c>
      <c r="B120" t="s">
        <v>155</v>
      </c>
      <c r="C120" t="s">
        <v>9</v>
      </c>
      <c r="D120">
        <v>651</v>
      </c>
      <c r="E120">
        <v>651</v>
      </c>
      <c r="F120">
        <v>405</v>
      </c>
    </row>
    <row r="121" spans="1:6" x14ac:dyDescent="0.2">
      <c r="A121">
        <v>20200722</v>
      </c>
      <c r="B121" t="s">
        <v>152</v>
      </c>
      <c r="C121" t="s">
        <v>9</v>
      </c>
      <c r="D121">
        <v>1159</v>
      </c>
      <c r="E121">
        <v>907</v>
      </c>
      <c r="F121">
        <v>376</v>
      </c>
    </row>
    <row r="122" spans="1:6" x14ac:dyDescent="0.2">
      <c r="A122">
        <v>20200722</v>
      </c>
      <c r="B122" t="s">
        <v>11</v>
      </c>
      <c r="C122" t="s">
        <v>7</v>
      </c>
      <c r="D122">
        <v>12031</v>
      </c>
      <c r="E122">
        <v>0</v>
      </c>
      <c r="F122">
        <v>0</v>
      </c>
    </row>
    <row r="123" spans="1:6" x14ac:dyDescent="0.2">
      <c r="A123">
        <v>20200722</v>
      </c>
      <c r="B123" t="s">
        <v>11</v>
      </c>
      <c r="C123" t="s">
        <v>9</v>
      </c>
      <c r="D123">
        <v>12104</v>
      </c>
      <c r="E123">
        <v>4</v>
      </c>
      <c r="F123">
        <v>1</v>
      </c>
    </row>
    <row r="124" spans="1:6" x14ac:dyDescent="0.2">
      <c r="A124">
        <v>20200722</v>
      </c>
      <c r="B124" t="s">
        <v>16</v>
      </c>
      <c r="C124" t="s">
        <v>7</v>
      </c>
      <c r="D124">
        <v>742</v>
      </c>
      <c r="E124">
        <v>742</v>
      </c>
      <c r="F124">
        <v>447</v>
      </c>
    </row>
    <row r="125" spans="1:6" x14ac:dyDescent="0.2">
      <c r="A125">
        <v>20200722</v>
      </c>
      <c r="B125" t="s">
        <v>16</v>
      </c>
      <c r="C125" t="s">
        <v>9</v>
      </c>
      <c r="D125">
        <v>365</v>
      </c>
      <c r="E125">
        <v>365</v>
      </c>
      <c r="F125">
        <v>242</v>
      </c>
    </row>
    <row r="126" spans="1:6" x14ac:dyDescent="0.2">
      <c r="A126">
        <v>20200722</v>
      </c>
      <c r="B126" t="s">
        <v>6</v>
      </c>
      <c r="C126" t="s">
        <v>7</v>
      </c>
      <c r="D126">
        <v>8343</v>
      </c>
      <c r="E126">
        <v>727</v>
      </c>
      <c r="F126">
        <v>428</v>
      </c>
    </row>
    <row r="127" spans="1:6" x14ac:dyDescent="0.2">
      <c r="A127">
        <v>20200722</v>
      </c>
      <c r="B127" t="s">
        <v>6</v>
      </c>
      <c r="C127" t="s">
        <v>9</v>
      </c>
      <c r="D127">
        <v>13789</v>
      </c>
      <c r="E127">
        <v>4144</v>
      </c>
      <c r="F127">
        <v>2469</v>
      </c>
    </row>
    <row r="128" spans="1:6" x14ac:dyDescent="0.2">
      <c r="A128">
        <v>20200722</v>
      </c>
      <c r="B128" t="s">
        <v>73</v>
      </c>
      <c r="C128" t="s">
        <v>7</v>
      </c>
      <c r="D128">
        <v>3</v>
      </c>
      <c r="E128">
        <v>3</v>
      </c>
      <c r="F128">
        <v>1</v>
      </c>
    </row>
    <row r="129" spans="1:6" x14ac:dyDescent="0.2">
      <c r="A129">
        <v>20200722</v>
      </c>
      <c r="B129" t="s">
        <v>73</v>
      </c>
      <c r="C129" t="s">
        <v>9</v>
      </c>
      <c r="D129">
        <v>362</v>
      </c>
      <c r="E129">
        <v>362</v>
      </c>
      <c r="F129">
        <v>126</v>
      </c>
    </row>
    <row r="130" spans="1:6" x14ac:dyDescent="0.2">
      <c r="A130">
        <v>20200722</v>
      </c>
      <c r="B130" t="s">
        <v>164</v>
      </c>
      <c r="C130" t="s">
        <v>9</v>
      </c>
      <c r="D130">
        <v>4</v>
      </c>
      <c r="E130">
        <v>3</v>
      </c>
      <c r="F130">
        <v>2</v>
      </c>
    </row>
    <row r="131" spans="1:6" x14ac:dyDescent="0.2">
      <c r="A131">
        <v>20200722</v>
      </c>
      <c r="B131" t="s">
        <v>20</v>
      </c>
      <c r="C131" t="s">
        <v>7</v>
      </c>
      <c r="D131">
        <v>648</v>
      </c>
      <c r="E131">
        <v>344</v>
      </c>
      <c r="F131">
        <v>183</v>
      </c>
    </row>
    <row r="132" spans="1:6" x14ac:dyDescent="0.2">
      <c r="A132">
        <v>20200722</v>
      </c>
      <c r="B132" t="s">
        <v>20</v>
      </c>
      <c r="C132" t="s">
        <v>9</v>
      </c>
      <c r="D132">
        <v>1211</v>
      </c>
      <c r="E132">
        <v>637</v>
      </c>
      <c r="F132">
        <v>331</v>
      </c>
    </row>
    <row r="133" spans="1:6" x14ac:dyDescent="0.2">
      <c r="A133">
        <v>20200722</v>
      </c>
      <c r="B133" t="s">
        <v>21</v>
      </c>
      <c r="C133" t="s">
        <v>9</v>
      </c>
      <c r="D133">
        <v>1</v>
      </c>
      <c r="E133">
        <v>0</v>
      </c>
      <c r="F133">
        <v>0</v>
      </c>
    </row>
    <row r="134" spans="1:6" x14ac:dyDescent="0.2">
      <c r="A134">
        <v>20200722</v>
      </c>
      <c r="B134" t="s">
        <v>49</v>
      </c>
      <c r="C134" t="s">
        <v>7</v>
      </c>
      <c r="D134">
        <v>8</v>
      </c>
      <c r="E134">
        <v>2</v>
      </c>
      <c r="F134">
        <v>1</v>
      </c>
    </row>
    <row r="135" spans="1:6" x14ac:dyDescent="0.2">
      <c r="A135">
        <v>20200722</v>
      </c>
      <c r="B135" t="s">
        <v>49</v>
      </c>
      <c r="C135" t="s">
        <v>9</v>
      </c>
      <c r="D135">
        <v>157</v>
      </c>
      <c r="E135">
        <v>96</v>
      </c>
      <c r="F135">
        <v>76</v>
      </c>
    </row>
    <row r="136" spans="1:6" x14ac:dyDescent="0.2">
      <c r="A136">
        <v>20200722</v>
      </c>
      <c r="B136" t="s">
        <v>56</v>
      </c>
      <c r="C136" t="s">
        <v>9</v>
      </c>
      <c r="D136">
        <v>20</v>
      </c>
      <c r="E136">
        <v>20</v>
      </c>
      <c r="F136">
        <v>18</v>
      </c>
    </row>
    <row r="137" spans="1:6" x14ac:dyDescent="0.2">
      <c r="A137">
        <v>20200722</v>
      </c>
      <c r="B137" t="s">
        <v>154</v>
      </c>
      <c r="C137" t="s">
        <v>7</v>
      </c>
      <c r="D137">
        <v>1433</v>
      </c>
      <c r="E137">
        <v>0</v>
      </c>
      <c r="F137">
        <v>0</v>
      </c>
    </row>
    <row r="138" spans="1:6" x14ac:dyDescent="0.2">
      <c r="A138">
        <v>20200722</v>
      </c>
      <c r="B138" t="s">
        <v>154</v>
      </c>
      <c r="C138" t="s">
        <v>9</v>
      </c>
      <c r="D138">
        <v>1581</v>
      </c>
      <c r="E138">
        <v>0</v>
      </c>
      <c r="F138">
        <v>0</v>
      </c>
    </row>
    <row r="139" spans="1:6" x14ac:dyDescent="0.2">
      <c r="A139">
        <v>20200722</v>
      </c>
      <c r="B139" t="s">
        <v>17</v>
      </c>
      <c r="C139" t="s">
        <v>9</v>
      </c>
      <c r="D139">
        <v>445</v>
      </c>
      <c r="E139">
        <v>319</v>
      </c>
      <c r="F139">
        <v>140</v>
      </c>
    </row>
    <row r="140" spans="1:6" x14ac:dyDescent="0.2">
      <c r="A140">
        <v>20200722</v>
      </c>
      <c r="B140" t="s">
        <v>72</v>
      </c>
      <c r="C140" t="s">
        <v>7</v>
      </c>
      <c r="D140">
        <v>332</v>
      </c>
      <c r="E140">
        <v>332</v>
      </c>
      <c r="F140">
        <v>220</v>
      </c>
    </row>
    <row r="141" spans="1:6" x14ac:dyDescent="0.2">
      <c r="A141">
        <v>20200722</v>
      </c>
      <c r="B141" t="s">
        <v>72</v>
      </c>
      <c r="C141" t="s">
        <v>9</v>
      </c>
      <c r="D141">
        <v>920</v>
      </c>
      <c r="E141">
        <v>920</v>
      </c>
      <c r="F141">
        <v>735</v>
      </c>
    </row>
    <row r="142" spans="1:6" x14ac:dyDescent="0.2">
      <c r="A142">
        <v>20200722</v>
      </c>
      <c r="B142" t="s">
        <v>28</v>
      </c>
      <c r="C142" t="s">
        <v>9</v>
      </c>
      <c r="D142">
        <v>100</v>
      </c>
      <c r="E142">
        <v>100</v>
      </c>
      <c r="F142">
        <v>71</v>
      </c>
    </row>
    <row r="143" spans="1:6" x14ac:dyDescent="0.2">
      <c r="A143">
        <v>20200722</v>
      </c>
      <c r="B143" t="s">
        <v>66</v>
      </c>
      <c r="C143" t="s">
        <v>7</v>
      </c>
      <c r="D143">
        <v>48</v>
      </c>
      <c r="E143">
        <v>25</v>
      </c>
      <c r="F143">
        <v>15</v>
      </c>
    </row>
    <row r="144" spans="1:6" x14ac:dyDescent="0.2">
      <c r="A144">
        <v>20200722</v>
      </c>
      <c r="B144" t="s">
        <v>66</v>
      </c>
      <c r="C144" t="s">
        <v>9</v>
      </c>
      <c r="D144">
        <v>7</v>
      </c>
      <c r="E144">
        <v>4</v>
      </c>
      <c r="F144">
        <v>3</v>
      </c>
    </row>
    <row r="145" spans="1:6" x14ac:dyDescent="0.2">
      <c r="A145">
        <v>20200722</v>
      </c>
      <c r="B145" t="s">
        <v>76</v>
      </c>
      <c r="C145" t="s">
        <v>7</v>
      </c>
      <c r="D145">
        <v>1450</v>
      </c>
      <c r="E145">
        <v>1450</v>
      </c>
      <c r="F145">
        <v>1086</v>
      </c>
    </row>
    <row r="146" spans="1:6" x14ac:dyDescent="0.2">
      <c r="A146">
        <v>20200722</v>
      </c>
      <c r="B146" t="s">
        <v>76</v>
      </c>
      <c r="C146" t="s">
        <v>9</v>
      </c>
      <c r="D146">
        <v>993</v>
      </c>
      <c r="E146">
        <v>993</v>
      </c>
      <c r="F146">
        <v>744</v>
      </c>
    </row>
    <row r="147" spans="1:6" x14ac:dyDescent="0.2">
      <c r="A147">
        <v>20200722</v>
      </c>
      <c r="B147" t="s">
        <v>62</v>
      </c>
      <c r="C147" t="s">
        <v>9</v>
      </c>
      <c r="D147">
        <v>37</v>
      </c>
      <c r="E147">
        <v>25</v>
      </c>
      <c r="F147">
        <v>14</v>
      </c>
    </row>
    <row r="148" spans="1:6" x14ac:dyDescent="0.2">
      <c r="A148">
        <v>20200722</v>
      </c>
      <c r="B148" t="s">
        <v>53</v>
      </c>
      <c r="C148" t="s">
        <v>9</v>
      </c>
      <c r="D148">
        <v>52</v>
      </c>
      <c r="E148">
        <v>52</v>
      </c>
      <c r="F148">
        <v>36</v>
      </c>
    </row>
    <row r="149" spans="1:6" x14ac:dyDescent="0.2">
      <c r="A149">
        <v>20200722</v>
      </c>
      <c r="B149" t="s">
        <v>74</v>
      </c>
      <c r="C149" t="s">
        <v>9</v>
      </c>
      <c r="D149">
        <v>57</v>
      </c>
      <c r="E149">
        <v>57</v>
      </c>
      <c r="F149">
        <v>23</v>
      </c>
    </row>
    <row r="150" spans="1:6" x14ac:dyDescent="0.2">
      <c r="A150">
        <v>20200722</v>
      </c>
      <c r="B150" t="s">
        <v>116</v>
      </c>
      <c r="C150" t="s">
        <v>7</v>
      </c>
      <c r="D150">
        <v>7906</v>
      </c>
      <c r="E150">
        <v>0</v>
      </c>
      <c r="F150">
        <v>0</v>
      </c>
    </row>
    <row r="151" spans="1:6" x14ac:dyDescent="0.2">
      <c r="A151">
        <v>20200722</v>
      </c>
      <c r="B151" t="s">
        <v>116</v>
      </c>
      <c r="C151" t="s">
        <v>9</v>
      </c>
      <c r="D151">
        <v>7574</v>
      </c>
      <c r="E151">
        <v>0</v>
      </c>
      <c r="F151">
        <v>0</v>
      </c>
    </row>
    <row r="152" spans="1:6" x14ac:dyDescent="0.2">
      <c r="A152">
        <v>20200722</v>
      </c>
      <c r="B152" t="s">
        <v>13</v>
      </c>
      <c r="C152" t="s">
        <v>7</v>
      </c>
      <c r="D152">
        <v>7171</v>
      </c>
      <c r="E152">
        <v>7171</v>
      </c>
      <c r="F152">
        <v>5259</v>
      </c>
    </row>
    <row r="153" spans="1:6" x14ac:dyDescent="0.2">
      <c r="A153">
        <v>20200722</v>
      </c>
      <c r="B153" t="s">
        <v>13</v>
      </c>
      <c r="C153" t="s">
        <v>9</v>
      </c>
      <c r="D153">
        <v>4660</v>
      </c>
      <c r="E153">
        <v>4660</v>
      </c>
      <c r="F153">
        <v>3535</v>
      </c>
    </row>
    <row r="154" spans="1:6" x14ac:dyDescent="0.2">
      <c r="A154">
        <v>20200722</v>
      </c>
      <c r="B154" t="s">
        <v>122</v>
      </c>
      <c r="C154" t="s">
        <v>9</v>
      </c>
      <c r="D154">
        <v>39</v>
      </c>
      <c r="E154">
        <v>39</v>
      </c>
      <c r="F154">
        <v>27</v>
      </c>
    </row>
    <row r="155" spans="1:6" x14ac:dyDescent="0.2">
      <c r="A155">
        <v>20200722</v>
      </c>
      <c r="B155" t="s">
        <v>139</v>
      </c>
      <c r="C155" t="s">
        <v>7</v>
      </c>
      <c r="D155">
        <v>120</v>
      </c>
      <c r="E155">
        <v>3</v>
      </c>
      <c r="F155">
        <v>1</v>
      </c>
    </row>
    <row r="156" spans="1:6" x14ac:dyDescent="0.2">
      <c r="A156">
        <v>20200722</v>
      </c>
      <c r="B156" t="s">
        <v>139</v>
      </c>
      <c r="C156" t="s">
        <v>9</v>
      </c>
      <c r="D156">
        <v>145</v>
      </c>
      <c r="E156">
        <v>1</v>
      </c>
      <c r="F156">
        <v>0</v>
      </c>
    </row>
    <row r="157" spans="1:6" x14ac:dyDescent="0.2">
      <c r="A157">
        <v>20200722</v>
      </c>
      <c r="B157" t="s">
        <v>100</v>
      </c>
      <c r="C157" t="s">
        <v>7</v>
      </c>
      <c r="D157">
        <v>3607</v>
      </c>
      <c r="E157">
        <v>3607</v>
      </c>
      <c r="F157">
        <v>2091</v>
      </c>
    </row>
    <row r="158" spans="1:6" x14ac:dyDescent="0.2">
      <c r="A158">
        <v>20200722</v>
      </c>
      <c r="B158" t="s">
        <v>100</v>
      </c>
      <c r="C158" t="s">
        <v>9</v>
      </c>
      <c r="D158">
        <v>1459</v>
      </c>
      <c r="E158">
        <v>1459</v>
      </c>
      <c r="F158">
        <v>892</v>
      </c>
    </row>
    <row r="159" spans="1:6" x14ac:dyDescent="0.2">
      <c r="A159">
        <v>20200722</v>
      </c>
      <c r="B159" t="s">
        <v>86</v>
      </c>
      <c r="C159" t="s">
        <v>7</v>
      </c>
      <c r="D159">
        <v>8</v>
      </c>
      <c r="E159">
        <v>8</v>
      </c>
      <c r="F159">
        <v>5</v>
      </c>
    </row>
    <row r="160" spans="1:6" x14ac:dyDescent="0.2">
      <c r="A160">
        <v>20200722</v>
      </c>
      <c r="B160" t="s">
        <v>86</v>
      </c>
      <c r="C160" t="s">
        <v>9</v>
      </c>
      <c r="D160">
        <v>6</v>
      </c>
      <c r="E160">
        <v>4</v>
      </c>
      <c r="F160">
        <v>4</v>
      </c>
    </row>
    <row r="161" spans="1:6" x14ac:dyDescent="0.2">
      <c r="A161">
        <v>20200722</v>
      </c>
      <c r="B161" t="s">
        <v>140</v>
      </c>
      <c r="C161" t="s">
        <v>9</v>
      </c>
      <c r="D161">
        <v>1</v>
      </c>
      <c r="E161">
        <v>1</v>
      </c>
      <c r="F161">
        <v>0</v>
      </c>
    </row>
    <row r="162" spans="1:6" x14ac:dyDescent="0.2">
      <c r="A162">
        <v>20200722</v>
      </c>
      <c r="B162" t="s">
        <v>145</v>
      </c>
      <c r="C162" t="s">
        <v>9</v>
      </c>
      <c r="D162">
        <v>264</v>
      </c>
      <c r="E162">
        <v>264</v>
      </c>
      <c r="F162">
        <v>192</v>
      </c>
    </row>
    <row r="163" spans="1:6" x14ac:dyDescent="0.2">
      <c r="A163">
        <v>20200722</v>
      </c>
      <c r="B163" t="s">
        <v>169</v>
      </c>
      <c r="C163" t="s">
        <v>9</v>
      </c>
      <c r="D163">
        <v>3</v>
      </c>
      <c r="E163">
        <v>3</v>
      </c>
      <c r="F163">
        <v>1</v>
      </c>
    </row>
    <row r="164" spans="1:6" x14ac:dyDescent="0.2">
      <c r="A164">
        <v>20200722</v>
      </c>
      <c r="B164" t="s">
        <v>54</v>
      </c>
      <c r="C164" t="s">
        <v>9</v>
      </c>
      <c r="D164">
        <v>1078</v>
      </c>
      <c r="E164">
        <v>823</v>
      </c>
      <c r="F164">
        <v>369</v>
      </c>
    </row>
    <row r="165" spans="1:6" x14ac:dyDescent="0.2">
      <c r="A165">
        <v>20200722</v>
      </c>
      <c r="B165" t="s">
        <v>92</v>
      </c>
      <c r="C165" t="s">
        <v>9</v>
      </c>
      <c r="D165">
        <v>530</v>
      </c>
      <c r="E165">
        <v>357</v>
      </c>
      <c r="F165">
        <v>149</v>
      </c>
    </row>
    <row r="166" spans="1:6" x14ac:dyDescent="0.2">
      <c r="A166">
        <v>20200722</v>
      </c>
      <c r="B166" t="s">
        <v>75</v>
      </c>
      <c r="C166" t="s">
        <v>9</v>
      </c>
      <c r="D166">
        <v>51</v>
      </c>
      <c r="E166">
        <v>51</v>
      </c>
      <c r="F166">
        <v>38</v>
      </c>
    </row>
    <row r="167" spans="1:6" x14ac:dyDescent="0.2">
      <c r="A167">
        <v>20200722</v>
      </c>
      <c r="B167" t="s">
        <v>103</v>
      </c>
      <c r="C167" t="s">
        <v>7</v>
      </c>
      <c r="D167">
        <v>180</v>
      </c>
      <c r="E167">
        <v>180</v>
      </c>
      <c r="F167">
        <v>124</v>
      </c>
    </row>
    <row r="168" spans="1:6" x14ac:dyDescent="0.2">
      <c r="A168">
        <v>20200722</v>
      </c>
      <c r="B168" t="s">
        <v>103</v>
      </c>
      <c r="C168" t="s">
        <v>9</v>
      </c>
      <c r="D168">
        <v>145</v>
      </c>
      <c r="E168">
        <v>145</v>
      </c>
      <c r="F168">
        <v>114</v>
      </c>
    </row>
    <row r="169" spans="1:6" x14ac:dyDescent="0.2">
      <c r="A169">
        <v>20200722</v>
      </c>
      <c r="B169" t="s">
        <v>168</v>
      </c>
      <c r="C169" t="s">
        <v>9</v>
      </c>
      <c r="D169">
        <v>6</v>
      </c>
      <c r="E169">
        <v>4</v>
      </c>
      <c r="F169">
        <v>1</v>
      </c>
    </row>
    <row r="170" spans="1:6" x14ac:dyDescent="0.2">
      <c r="A170">
        <v>20200722</v>
      </c>
      <c r="B170" t="s">
        <v>138</v>
      </c>
      <c r="C170" t="s">
        <v>9</v>
      </c>
      <c r="D170">
        <v>226</v>
      </c>
      <c r="E170">
        <v>126</v>
      </c>
      <c r="F170">
        <v>55</v>
      </c>
    </row>
    <row r="171" spans="1:6" x14ac:dyDescent="0.2">
      <c r="A171">
        <v>20200722</v>
      </c>
      <c r="B171" t="s">
        <v>47</v>
      </c>
      <c r="C171" t="s">
        <v>7</v>
      </c>
      <c r="D171">
        <v>1</v>
      </c>
      <c r="E171">
        <v>1</v>
      </c>
      <c r="F171">
        <v>0</v>
      </c>
    </row>
    <row r="172" spans="1:6" x14ac:dyDescent="0.2">
      <c r="A172">
        <v>20200722</v>
      </c>
      <c r="B172" t="s">
        <v>47</v>
      </c>
      <c r="C172" t="s">
        <v>9</v>
      </c>
      <c r="D172">
        <v>4</v>
      </c>
      <c r="E172">
        <v>4</v>
      </c>
      <c r="F172">
        <v>2</v>
      </c>
    </row>
    <row r="173" spans="1:6" x14ac:dyDescent="0.2">
      <c r="A173">
        <v>20200722</v>
      </c>
      <c r="B173" t="s">
        <v>141</v>
      </c>
      <c r="C173" t="s">
        <v>9</v>
      </c>
      <c r="D173">
        <v>1908</v>
      </c>
      <c r="E173">
        <v>1454</v>
      </c>
      <c r="F173">
        <v>694</v>
      </c>
    </row>
    <row r="174" spans="1:6" x14ac:dyDescent="0.2">
      <c r="A174">
        <v>20200722</v>
      </c>
      <c r="B174" t="s">
        <v>114</v>
      </c>
      <c r="C174" t="s">
        <v>9</v>
      </c>
      <c r="D174">
        <v>491</v>
      </c>
      <c r="E174">
        <v>491</v>
      </c>
      <c r="F174">
        <v>328</v>
      </c>
    </row>
    <row r="175" spans="1:6" x14ac:dyDescent="0.2">
      <c r="A175">
        <v>20200722</v>
      </c>
      <c r="B175" t="s">
        <v>171</v>
      </c>
      <c r="C175" t="s">
        <v>9</v>
      </c>
      <c r="D175">
        <v>10</v>
      </c>
      <c r="E175">
        <v>10</v>
      </c>
      <c r="F175">
        <v>3</v>
      </c>
    </row>
    <row r="176" spans="1:6" x14ac:dyDescent="0.2">
      <c r="A176">
        <v>20200722</v>
      </c>
      <c r="B176" t="s">
        <v>83</v>
      </c>
      <c r="C176" t="s">
        <v>7</v>
      </c>
      <c r="D176">
        <v>596</v>
      </c>
      <c r="E176">
        <v>596</v>
      </c>
      <c r="F176">
        <v>341</v>
      </c>
    </row>
    <row r="177" spans="1:6" x14ac:dyDescent="0.2">
      <c r="A177">
        <v>20200722</v>
      </c>
      <c r="B177" t="s">
        <v>83</v>
      </c>
      <c r="C177" t="s">
        <v>9</v>
      </c>
      <c r="D177">
        <v>470</v>
      </c>
      <c r="E177">
        <v>470</v>
      </c>
      <c r="F177">
        <v>314</v>
      </c>
    </row>
    <row r="178" spans="1:6" x14ac:dyDescent="0.2">
      <c r="A178">
        <v>20200722</v>
      </c>
      <c r="B178" t="s">
        <v>104</v>
      </c>
      <c r="C178" t="s">
        <v>7</v>
      </c>
      <c r="D178">
        <v>653</v>
      </c>
      <c r="E178">
        <v>653</v>
      </c>
      <c r="F178">
        <v>342</v>
      </c>
    </row>
    <row r="179" spans="1:6" x14ac:dyDescent="0.2">
      <c r="A179">
        <v>20200722</v>
      </c>
      <c r="B179" t="s">
        <v>104</v>
      </c>
      <c r="C179" t="s">
        <v>9</v>
      </c>
      <c r="D179">
        <v>1213</v>
      </c>
      <c r="E179">
        <v>1213</v>
      </c>
      <c r="F179">
        <v>605</v>
      </c>
    </row>
    <row r="180" spans="1:6" x14ac:dyDescent="0.2">
      <c r="A180">
        <v>20200722</v>
      </c>
      <c r="B180" t="s">
        <v>125</v>
      </c>
      <c r="C180" t="s">
        <v>9</v>
      </c>
      <c r="D180">
        <v>230</v>
      </c>
      <c r="E180">
        <v>230</v>
      </c>
      <c r="F180">
        <v>163</v>
      </c>
    </row>
    <row r="181" spans="1:6" x14ac:dyDescent="0.2">
      <c r="A181">
        <v>20200722</v>
      </c>
      <c r="B181" t="s">
        <v>81</v>
      </c>
      <c r="C181" t="s">
        <v>7</v>
      </c>
      <c r="D181">
        <v>390</v>
      </c>
      <c r="E181">
        <v>2</v>
      </c>
      <c r="F181">
        <v>1</v>
      </c>
    </row>
    <row r="182" spans="1:6" x14ac:dyDescent="0.2">
      <c r="A182">
        <v>20200722</v>
      </c>
      <c r="B182" t="s">
        <v>81</v>
      </c>
      <c r="C182" t="s">
        <v>9</v>
      </c>
      <c r="D182">
        <v>414</v>
      </c>
      <c r="E182">
        <v>0</v>
      </c>
      <c r="F182">
        <v>0</v>
      </c>
    </row>
    <row r="183" spans="1:6" x14ac:dyDescent="0.2">
      <c r="A183">
        <v>20200722</v>
      </c>
      <c r="B183" t="s">
        <v>14</v>
      </c>
      <c r="C183" t="s">
        <v>7</v>
      </c>
      <c r="D183">
        <v>462</v>
      </c>
      <c r="E183">
        <v>462</v>
      </c>
      <c r="F183">
        <v>375</v>
      </c>
    </row>
    <row r="184" spans="1:6" x14ac:dyDescent="0.2">
      <c r="A184">
        <v>20200722</v>
      </c>
      <c r="B184" t="s">
        <v>14</v>
      </c>
      <c r="C184" t="s">
        <v>9</v>
      </c>
      <c r="D184">
        <v>584</v>
      </c>
      <c r="E184">
        <v>584</v>
      </c>
      <c r="F184">
        <v>454</v>
      </c>
    </row>
    <row r="185" spans="1:6" x14ac:dyDescent="0.2">
      <c r="A185">
        <v>20200722</v>
      </c>
      <c r="B185" t="s">
        <v>146</v>
      </c>
      <c r="C185" t="s">
        <v>7</v>
      </c>
      <c r="D185">
        <v>84</v>
      </c>
      <c r="E185">
        <v>59</v>
      </c>
      <c r="F185">
        <v>26</v>
      </c>
    </row>
    <row r="186" spans="1:6" x14ac:dyDescent="0.2">
      <c r="A186">
        <v>20200722</v>
      </c>
      <c r="B186" t="s">
        <v>146</v>
      </c>
      <c r="C186" t="s">
        <v>9</v>
      </c>
      <c r="D186">
        <v>620</v>
      </c>
      <c r="E186">
        <v>433</v>
      </c>
      <c r="F186">
        <v>226</v>
      </c>
    </row>
    <row r="187" spans="1:6" x14ac:dyDescent="0.2">
      <c r="A187">
        <v>20200722</v>
      </c>
      <c r="B187" t="s">
        <v>48</v>
      </c>
      <c r="C187" t="s">
        <v>7</v>
      </c>
      <c r="D187">
        <v>41</v>
      </c>
      <c r="E187">
        <v>41</v>
      </c>
      <c r="F187">
        <v>27</v>
      </c>
    </row>
    <row r="188" spans="1:6" x14ac:dyDescent="0.2">
      <c r="A188">
        <v>20200722</v>
      </c>
      <c r="B188" t="s">
        <v>48</v>
      </c>
      <c r="C188" t="s">
        <v>9</v>
      </c>
      <c r="D188">
        <v>77</v>
      </c>
      <c r="E188">
        <v>77</v>
      </c>
      <c r="F188">
        <v>47</v>
      </c>
    </row>
    <row r="189" spans="1:6" x14ac:dyDescent="0.2">
      <c r="A189">
        <v>20200722</v>
      </c>
      <c r="B189" t="s">
        <v>115</v>
      </c>
      <c r="C189" t="s">
        <v>7</v>
      </c>
      <c r="D189">
        <v>25</v>
      </c>
      <c r="E189">
        <v>25</v>
      </c>
      <c r="F189">
        <v>16</v>
      </c>
    </row>
    <row r="190" spans="1:6" x14ac:dyDescent="0.2">
      <c r="A190">
        <v>20200722</v>
      </c>
      <c r="B190" t="s">
        <v>115</v>
      </c>
      <c r="C190" t="s">
        <v>9</v>
      </c>
      <c r="D190">
        <v>294</v>
      </c>
      <c r="E190">
        <v>294</v>
      </c>
      <c r="F190">
        <v>219</v>
      </c>
    </row>
    <row r="191" spans="1:6" x14ac:dyDescent="0.2">
      <c r="A191">
        <v>20200722</v>
      </c>
      <c r="B191" t="s">
        <v>93</v>
      </c>
      <c r="C191" t="s">
        <v>7</v>
      </c>
      <c r="D191">
        <v>11698</v>
      </c>
      <c r="E191">
        <v>11698</v>
      </c>
      <c r="F191">
        <v>9184</v>
      </c>
    </row>
    <row r="192" spans="1:6" x14ac:dyDescent="0.2">
      <c r="A192">
        <v>20200722</v>
      </c>
      <c r="B192" t="s">
        <v>93</v>
      </c>
      <c r="C192" t="s">
        <v>9</v>
      </c>
      <c r="D192">
        <v>9115</v>
      </c>
      <c r="E192">
        <v>9115</v>
      </c>
      <c r="F192">
        <v>7235</v>
      </c>
    </row>
    <row r="193" spans="1:6" x14ac:dyDescent="0.2">
      <c r="A193">
        <v>20200722</v>
      </c>
      <c r="B193" t="s">
        <v>30</v>
      </c>
      <c r="C193" t="s">
        <v>9</v>
      </c>
      <c r="D193">
        <v>42</v>
      </c>
      <c r="E193">
        <v>42</v>
      </c>
      <c r="F193">
        <v>30</v>
      </c>
    </row>
    <row r="194" spans="1:6" x14ac:dyDescent="0.2">
      <c r="A194">
        <v>20200722</v>
      </c>
      <c r="B194" t="s">
        <v>15</v>
      </c>
      <c r="C194" t="s">
        <v>7</v>
      </c>
      <c r="D194">
        <v>2</v>
      </c>
      <c r="E194">
        <v>2</v>
      </c>
      <c r="F194">
        <v>2</v>
      </c>
    </row>
    <row r="195" spans="1:6" x14ac:dyDescent="0.2">
      <c r="A195">
        <v>20200722</v>
      </c>
      <c r="B195" t="s">
        <v>15</v>
      </c>
      <c r="C195" t="s">
        <v>9</v>
      </c>
      <c r="D195">
        <v>45</v>
      </c>
      <c r="E195">
        <v>45</v>
      </c>
      <c r="F195">
        <v>34</v>
      </c>
    </row>
    <row r="196" spans="1:6" x14ac:dyDescent="0.2">
      <c r="A196">
        <v>20200722</v>
      </c>
      <c r="B196" t="s">
        <v>55</v>
      </c>
      <c r="C196" t="s">
        <v>9</v>
      </c>
      <c r="D196">
        <v>238</v>
      </c>
      <c r="E196">
        <v>238</v>
      </c>
      <c r="F196">
        <v>164</v>
      </c>
    </row>
    <row r="197" spans="1:6" x14ac:dyDescent="0.2">
      <c r="A197">
        <v>20200722</v>
      </c>
      <c r="B197" t="s">
        <v>111</v>
      </c>
      <c r="C197" t="s">
        <v>9</v>
      </c>
      <c r="D197">
        <v>211</v>
      </c>
      <c r="E197">
        <v>211</v>
      </c>
      <c r="F197">
        <v>139</v>
      </c>
    </row>
    <row r="198" spans="1:6" x14ac:dyDescent="0.2">
      <c r="A198">
        <v>20200722</v>
      </c>
      <c r="B198" t="s">
        <v>46</v>
      </c>
      <c r="C198" t="s">
        <v>9</v>
      </c>
      <c r="D198">
        <v>35</v>
      </c>
      <c r="E198">
        <v>35</v>
      </c>
      <c r="F198">
        <v>33</v>
      </c>
    </row>
    <row r="199" spans="1:6" x14ac:dyDescent="0.2">
      <c r="A199">
        <v>20200722</v>
      </c>
      <c r="C199" t="s">
        <v>7</v>
      </c>
      <c r="D199">
        <v>11168</v>
      </c>
      <c r="E199">
        <v>0</v>
      </c>
      <c r="F199">
        <v>0</v>
      </c>
    </row>
    <row r="200" spans="1:6" x14ac:dyDescent="0.2">
      <c r="A200">
        <v>20200722</v>
      </c>
      <c r="C200" t="s">
        <v>9</v>
      </c>
      <c r="D200">
        <v>10305</v>
      </c>
      <c r="E200">
        <v>0</v>
      </c>
      <c r="F200">
        <v>0</v>
      </c>
    </row>
    <row r="201" spans="1:6" x14ac:dyDescent="0.2">
      <c r="A201">
        <v>20200723</v>
      </c>
      <c r="B201" t="s">
        <v>71</v>
      </c>
      <c r="C201" t="s">
        <v>7</v>
      </c>
      <c r="D201">
        <v>292</v>
      </c>
      <c r="E201">
        <v>292</v>
      </c>
      <c r="F201">
        <v>173</v>
      </c>
    </row>
    <row r="202" spans="1:6" x14ac:dyDescent="0.2">
      <c r="A202">
        <v>20200723</v>
      </c>
      <c r="B202" t="s">
        <v>71</v>
      </c>
      <c r="C202" t="s">
        <v>9</v>
      </c>
      <c r="D202">
        <v>360</v>
      </c>
      <c r="E202">
        <v>360</v>
      </c>
      <c r="F202">
        <v>218</v>
      </c>
    </row>
    <row r="203" spans="1:6" x14ac:dyDescent="0.2">
      <c r="A203">
        <v>20200723</v>
      </c>
      <c r="B203" t="s">
        <v>151</v>
      </c>
      <c r="C203" t="s">
        <v>9</v>
      </c>
      <c r="D203">
        <v>16</v>
      </c>
      <c r="E203">
        <v>16</v>
      </c>
      <c r="F203">
        <v>10</v>
      </c>
    </row>
    <row r="204" spans="1:6" x14ac:dyDescent="0.2">
      <c r="A204">
        <v>20200723</v>
      </c>
      <c r="B204" t="s">
        <v>132</v>
      </c>
      <c r="C204" t="s">
        <v>9</v>
      </c>
      <c r="D204">
        <v>3610</v>
      </c>
      <c r="E204">
        <v>2580</v>
      </c>
      <c r="F204">
        <v>1448</v>
      </c>
    </row>
    <row r="205" spans="1:6" x14ac:dyDescent="0.2">
      <c r="A205">
        <v>20200723</v>
      </c>
      <c r="B205" t="s">
        <v>45</v>
      </c>
      <c r="C205" t="s">
        <v>7</v>
      </c>
      <c r="D205">
        <v>1608</v>
      </c>
      <c r="E205">
        <v>2</v>
      </c>
      <c r="F205">
        <v>0</v>
      </c>
    </row>
    <row r="206" spans="1:6" x14ac:dyDescent="0.2">
      <c r="A206">
        <v>20200723</v>
      </c>
      <c r="B206" t="s">
        <v>45</v>
      </c>
      <c r="C206" t="s">
        <v>9</v>
      </c>
      <c r="D206">
        <v>1577</v>
      </c>
      <c r="E206">
        <v>4</v>
      </c>
      <c r="F206">
        <v>3</v>
      </c>
    </row>
    <row r="207" spans="1:6" x14ac:dyDescent="0.2">
      <c r="A207">
        <v>20200723</v>
      </c>
      <c r="B207" t="s">
        <v>69</v>
      </c>
      <c r="C207" t="s">
        <v>7</v>
      </c>
      <c r="D207">
        <v>646</v>
      </c>
      <c r="E207">
        <v>5</v>
      </c>
      <c r="F207">
        <v>4</v>
      </c>
    </row>
    <row r="208" spans="1:6" x14ac:dyDescent="0.2">
      <c r="A208">
        <v>20200723</v>
      </c>
      <c r="B208" t="s">
        <v>69</v>
      </c>
      <c r="C208" t="s">
        <v>9</v>
      </c>
      <c r="D208">
        <v>686</v>
      </c>
      <c r="E208">
        <v>3</v>
      </c>
      <c r="F208">
        <v>2</v>
      </c>
    </row>
    <row r="209" spans="1:6" x14ac:dyDescent="0.2">
      <c r="A209">
        <v>20200723</v>
      </c>
      <c r="B209" t="s">
        <v>123</v>
      </c>
      <c r="C209" t="s">
        <v>7</v>
      </c>
      <c r="D209">
        <v>1384</v>
      </c>
      <c r="E209">
        <v>2</v>
      </c>
      <c r="F209">
        <v>2</v>
      </c>
    </row>
    <row r="210" spans="1:6" x14ac:dyDescent="0.2">
      <c r="A210">
        <v>20200723</v>
      </c>
      <c r="B210" t="s">
        <v>123</v>
      </c>
      <c r="C210" t="s">
        <v>9</v>
      </c>
      <c r="D210">
        <v>1333</v>
      </c>
      <c r="E210">
        <v>9</v>
      </c>
      <c r="F210">
        <v>5</v>
      </c>
    </row>
    <row r="211" spans="1:6" x14ac:dyDescent="0.2">
      <c r="A211">
        <v>20200723</v>
      </c>
      <c r="B211" t="s">
        <v>101</v>
      </c>
      <c r="C211" t="s">
        <v>7</v>
      </c>
      <c r="D211">
        <v>1791</v>
      </c>
      <c r="E211">
        <v>4</v>
      </c>
      <c r="F211">
        <v>2</v>
      </c>
    </row>
    <row r="212" spans="1:6" x14ac:dyDescent="0.2">
      <c r="A212">
        <v>20200723</v>
      </c>
      <c r="B212" t="s">
        <v>101</v>
      </c>
      <c r="C212" t="s">
        <v>9</v>
      </c>
      <c r="D212">
        <v>1768</v>
      </c>
      <c r="E212">
        <v>4</v>
      </c>
      <c r="F212">
        <v>2</v>
      </c>
    </row>
    <row r="213" spans="1:6" x14ac:dyDescent="0.2">
      <c r="A213">
        <v>20200723</v>
      </c>
      <c r="B213" t="s">
        <v>31</v>
      </c>
      <c r="C213" t="s">
        <v>9</v>
      </c>
      <c r="D213">
        <v>228</v>
      </c>
      <c r="E213">
        <v>168</v>
      </c>
      <c r="F213">
        <v>32</v>
      </c>
    </row>
    <row r="214" spans="1:6" x14ac:dyDescent="0.2">
      <c r="A214">
        <v>20200723</v>
      </c>
      <c r="B214" t="s">
        <v>155</v>
      </c>
      <c r="C214" t="s">
        <v>7</v>
      </c>
      <c r="D214">
        <v>4</v>
      </c>
      <c r="E214">
        <v>4</v>
      </c>
      <c r="F214">
        <v>3</v>
      </c>
    </row>
    <row r="215" spans="1:6" x14ac:dyDescent="0.2">
      <c r="A215">
        <v>20200723</v>
      </c>
      <c r="B215" t="s">
        <v>155</v>
      </c>
      <c r="C215" t="s">
        <v>9</v>
      </c>
      <c r="D215">
        <v>698</v>
      </c>
      <c r="E215">
        <v>698</v>
      </c>
      <c r="F215">
        <v>441</v>
      </c>
    </row>
    <row r="216" spans="1:6" x14ac:dyDescent="0.2">
      <c r="A216">
        <v>20200723</v>
      </c>
      <c r="B216" t="s">
        <v>152</v>
      </c>
      <c r="C216" t="s">
        <v>9</v>
      </c>
      <c r="D216">
        <v>1029</v>
      </c>
      <c r="E216">
        <v>796</v>
      </c>
      <c r="F216">
        <v>296</v>
      </c>
    </row>
    <row r="217" spans="1:6" x14ac:dyDescent="0.2">
      <c r="A217">
        <v>20200723</v>
      </c>
      <c r="B217" t="s">
        <v>11</v>
      </c>
      <c r="C217" t="s">
        <v>7</v>
      </c>
      <c r="D217">
        <v>12065</v>
      </c>
      <c r="E217">
        <v>4</v>
      </c>
      <c r="F217">
        <v>0</v>
      </c>
    </row>
    <row r="218" spans="1:6" x14ac:dyDescent="0.2">
      <c r="A218">
        <v>20200723</v>
      </c>
      <c r="B218" t="s">
        <v>11</v>
      </c>
      <c r="C218" t="s">
        <v>9</v>
      </c>
      <c r="D218">
        <v>12050</v>
      </c>
      <c r="E218">
        <v>0</v>
      </c>
      <c r="F218">
        <v>0</v>
      </c>
    </row>
    <row r="219" spans="1:6" x14ac:dyDescent="0.2">
      <c r="A219">
        <v>20200723</v>
      </c>
      <c r="B219" t="s">
        <v>16</v>
      </c>
      <c r="C219" t="s">
        <v>7</v>
      </c>
      <c r="D219">
        <v>977</v>
      </c>
      <c r="E219">
        <v>977</v>
      </c>
      <c r="F219">
        <v>580</v>
      </c>
    </row>
    <row r="220" spans="1:6" x14ac:dyDescent="0.2">
      <c r="A220">
        <v>20200723</v>
      </c>
      <c r="B220" t="s">
        <v>16</v>
      </c>
      <c r="C220" t="s">
        <v>9</v>
      </c>
      <c r="D220">
        <v>557</v>
      </c>
      <c r="E220">
        <v>557</v>
      </c>
      <c r="F220">
        <v>351</v>
      </c>
    </row>
    <row r="221" spans="1:6" x14ac:dyDescent="0.2">
      <c r="A221">
        <v>20200723</v>
      </c>
      <c r="B221" t="s">
        <v>6</v>
      </c>
      <c r="C221" t="s">
        <v>7</v>
      </c>
      <c r="D221">
        <v>11413</v>
      </c>
      <c r="E221">
        <v>2829</v>
      </c>
      <c r="F221">
        <v>2044</v>
      </c>
    </row>
    <row r="222" spans="1:6" x14ac:dyDescent="0.2">
      <c r="A222">
        <v>20200723</v>
      </c>
      <c r="B222" t="s">
        <v>6</v>
      </c>
      <c r="C222" t="s">
        <v>9</v>
      </c>
      <c r="D222">
        <v>27994</v>
      </c>
      <c r="E222">
        <v>14228</v>
      </c>
      <c r="F222">
        <v>10376</v>
      </c>
    </row>
    <row r="223" spans="1:6" x14ac:dyDescent="0.2">
      <c r="A223">
        <v>20200723</v>
      </c>
      <c r="B223" t="s">
        <v>19</v>
      </c>
      <c r="C223" t="s">
        <v>7</v>
      </c>
      <c r="D223">
        <v>2139</v>
      </c>
      <c r="E223">
        <v>439</v>
      </c>
      <c r="F223">
        <v>206</v>
      </c>
    </row>
    <row r="224" spans="1:6" x14ac:dyDescent="0.2">
      <c r="A224">
        <v>20200723</v>
      </c>
      <c r="B224" t="s">
        <v>19</v>
      </c>
      <c r="C224" t="s">
        <v>9</v>
      </c>
      <c r="D224">
        <v>1660</v>
      </c>
      <c r="E224">
        <v>81</v>
      </c>
      <c r="F224">
        <v>37</v>
      </c>
    </row>
    <row r="225" spans="1:6" x14ac:dyDescent="0.2">
      <c r="A225">
        <v>20200723</v>
      </c>
      <c r="B225" t="s">
        <v>73</v>
      </c>
      <c r="C225" t="s">
        <v>7</v>
      </c>
      <c r="D225">
        <v>9</v>
      </c>
      <c r="E225">
        <v>9</v>
      </c>
      <c r="F225">
        <v>3</v>
      </c>
    </row>
    <row r="226" spans="1:6" x14ac:dyDescent="0.2">
      <c r="A226">
        <v>20200723</v>
      </c>
      <c r="B226" t="s">
        <v>73</v>
      </c>
      <c r="C226" t="s">
        <v>9</v>
      </c>
      <c r="D226">
        <v>294</v>
      </c>
      <c r="E226">
        <v>294</v>
      </c>
      <c r="F226">
        <v>101</v>
      </c>
    </row>
    <row r="227" spans="1:6" x14ac:dyDescent="0.2">
      <c r="A227">
        <v>20200723</v>
      </c>
      <c r="B227" t="s">
        <v>20</v>
      </c>
      <c r="C227" t="s">
        <v>7</v>
      </c>
      <c r="D227">
        <v>253</v>
      </c>
      <c r="E227">
        <v>147</v>
      </c>
      <c r="F227">
        <v>66</v>
      </c>
    </row>
    <row r="228" spans="1:6" x14ac:dyDescent="0.2">
      <c r="A228">
        <v>20200723</v>
      </c>
      <c r="B228" t="s">
        <v>20</v>
      </c>
      <c r="C228" t="s">
        <v>9</v>
      </c>
      <c r="D228">
        <v>726</v>
      </c>
      <c r="E228">
        <v>376</v>
      </c>
      <c r="F228">
        <v>201</v>
      </c>
    </row>
    <row r="229" spans="1:6" x14ac:dyDescent="0.2">
      <c r="A229">
        <v>20200723</v>
      </c>
      <c r="B229" t="s">
        <v>56</v>
      </c>
      <c r="C229" t="s">
        <v>9</v>
      </c>
      <c r="D229">
        <v>15</v>
      </c>
      <c r="E229">
        <v>15</v>
      </c>
      <c r="F229">
        <v>14</v>
      </c>
    </row>
    <row r="230" spans="1:6" x14ac:dyDescent="0.2">
      <c r="A230">
        <v>20200723</v>
      </c>
      <c r="B230" t="s">
        <v>57</v>
      </c>
      <c r="C230" t="s">
        <v>7</v>
      </c>
      <c r="D230">
        <v>914</v>
      </c>
      <c r="E230">
        <v>366</v>
      </c>
      <c r="F230">
        <v>129</v>
      </c>
    </row>
    <row r="231" spans="1:6" x14ac:dyDescent="0.2">
      <c r="A231">
        <v>20200723</v>
      </c>
      <c r="B231" t="s">
        <v>57</v>
      </c>
      <c r="C231" t="s">
        <v>9</v>
      </c>
      <c r="D231">
        <v>702</v>
      </c>
      <c r="E231">
        <v>114</v>
      </c>
      <c r="F231">
        <v>40</v>
      </c>
    </row>
    <row r="232" spans="1:6" x14ac:dyDescent="0.2">
      <c r="A232">
        <v>20200723</v>
      </c>
      <c r="B232" t="s">
        <v>17</v>
      </c>
      <c r="C232" t="s">
        <v>9</v>
      </c>
      <c r="D232">
        <v>526</v>
      </c>
      <c r="E232">
        <v>376</v>
      </c>
      <c r="F232">
        <v>160</v>
      </c>
    </row>
    <row r="233" spans="1:6" x14ac:dyDescent="0.2">
      <c r="A233">
        <v>20200723</v>
      </c>
      <c r="B233" t="s">
        <v>72</v>
      </c>
      <c r="C233" t="s">
        <v>7</v>
      </c>
      <c r="D233">
        <v>340</v>
      </c>
      <c r="E233">
        <v>340</v>
      </c>
      <c r="F233">
        <v>228</v>
      </c>
    </row>
    <row r="234" spans="1:6" x14ac:dyDescent="0.2">
      <c r="A234">
        <v>20200723</v>
      </c>
      <c r="B234" t="s">
        <v>72</v>
      </c>
      <c r="C234" t="s">
        <v>9</v>
      </c>
      <c r="D234">
        <v>899</v>
      </c>
      <c r="E234">
        <v>899</v>
      </c>
      <c r="F234">
        <v>698</v>
      </c>
    </row>
    <row r="235" spans="1:6" x14ac:dyDescent="0.2">
      <c r="A235">
        <v>20200723</v>
      </c>
      <c r="B235" t="s">
        <v>28</v>
      </c>
      <c r="C235" t="s">
        <v>9</v>
      </c>
      <c r="D235">
        <v>109</v>
      </c>
      <c r="E235">
        <v>109</v>
      </c>
      <c r="F235">
        <v>79</v>
      </c>
    </row>
    <row r="236" spans="1:6" x14ac:dyDescent="0.2">
      <c r="A236">
        <v>20200723</v>
      </c>
      <c r="B236" t="s">
        <v>66</v>
      </c>
      <c r="C236" t="s">
        <v>7</v>
      </c>
      <c r="D236">
        <v>32</v>
      </c>
      <c r="E236">
        <v>16</v>
      </c>
      <c r="F236">
        <v>7</v>
      </c>
    </row>
    <row r="237" spans="1:6" x14ac:dyDescent="0.2">
      <c r="A237">
        <v>20200723</v>
      </c>
      <c r="B237" t="s">
        <v>66</v>
      </c>
      <c r="C237" t="s">
        <v>9</v>
      </c>
      <c r="D237">
        <v>7</v>
      </c>
      <c r="E237">
        <v>5</v>
      </c>
      <c r="F237">
        <v>2</v>
      </c>
    </row>
    <row r="238" spans="1:6" x14ac:dyDescent="0.2">
      <c r="A238">
        <v>20200723</v>
      </c>
      <c r="B238" t="s">
        <v>156</v>
      </c>
      <c r="C238" t="s">
        <v>9</v>
      </c>
      <c r="D238">
        <v>723</v>
      </c>
      <c r="E238">
        <v>490</v>
      </c>
      <c r="F238">
        <v>375</v>
      </c>
    </row>
    <row r="239" spans="1:6" x14ac:dyDescent="0.2">
      <c r="A239">
        <v>20200723</v>
      </c>
      <c r="B239" t="s">
        <v>76</v>
      </c>
      <c r="C239" t="s">
        <v>7</v>
      </c>
      <c r="D239">
        <v>2904</v>
      </c>
      <c r="E239">
        <v>2904</v>
      </c>
      <c r="F239">
        <v>2107</v>
      </c>
    </row>
    <row r="240" spans="1:6" x14ac:dyDescent="0.2">
      <c r="A240">
        <v>20200723</v>
      </c>
      <c r="B240" t="s">
        <v>76</v>
      </c>
      <c r="C240" t="s">
        <v>9</v>
      </c>
      <c r="D240">
        <v>2408</v>
      </c>
      <c r="E240">
        <v>2408</v>
      </c>
      <c r="F240">
        <v>1744</v>
      </c>
    </row>
    <row r="241" spans="1:6" x14ac:dyDescent="0.2">
      <c r="A241">
        <v>20200723</v>
      </c>
      <c r="B241" t="s">
        <v>77</v>
      </c>
      <c r="C241" t="s">
        <v>7</v>
      </c>
      <c r="D241">
        <v>7</v>
      </c>
      <c r="E241">
        <v>2</v>
      </c>
      <c r="F241">
        <v>0</v>
      </c>
    </row>
    <row r="242" spans="1:6" x14ac:dyDescent="0.2">
      <c r="A242">
        <v>20200723</v>
      </c>
      <c r="B242" t="s">
        <v>77</v>
      </c>
      <c r="C242" t="s">
        <v>9</v>
      </c>
      <c r="D242">
        <v>15</v>
      </c>
      <c r="E242">
        <v>2</v>
      </c>
      <c r="F242">
        <v>0</v>
      </c>
    </row>
    <row r="243" spans="1:6" x14ac:dyDescent="0.2">
      <c r="A243">
        <v>20200723</v>
      </c>
      <c r="B243" t="s">
        <v>53</v>
      </c>
      <c r="C243" t="s">
        <v>9</v>
      </c>
      <c r="D243">
        <v>154</v>
      </c>
      <c r="E243">
        <v>154</v>
      </c>
      <c r="F243">
        <v>111</v>
      </c>
    </row>
    <row r="244" spans="1:6" x14ac:dyDescent="0.2">
      <c r="A244">
        <v>20200723</v>
      </c>
      <c r="B244" t="s">
        <v>74</v>
      </c>
      <c r="C244" t="s">
        <v>9</v>
      </c>
      <c r="D244">
        <v>164</v>
      </c>
      <c r="E244">
        <v>164</v>
      </c>
      <c r="F244">
        <v>70</v>
      </c>
    </row>
    <row r="245" spans="1:6" x14ac:dyDescent="0.2">
      <c r="A245">
        <v>20200723</v>
      </c>
      <c r="B245" t="s">
        <v>116</v>
      </c>
      <c r="C245" t="s">
        <v>7</v>
      </c>
      <c r="D245">
        <v>5110</v>
      </c>
      <c r="E245">
        <v>4494</v>
      </c>
      <c r="F245">
        <v>1742</v>
      </c>
    </row>
    <row r="246" spans="1:6" x14ac:dyDescent="0.2">
      <c r="A246">
        <v>20200723</v>
      </c>
      <c r="B246" t="s">
        <v>116</v>
      </c>
      <c r="C246" t="s">
        <v>9</v>
      </c>
      <c r="D246">
        <v>3467</v>
      </c>
      <c r="E246">
        <v>3043</v>
      </c>
      <c r="F246">
        <v>1360</v>
      </c>
    </row>
    <row r="247" spans="1:6" x14ac:dyDescent="0.2">
      <c r="A247">
        <v>20200723</v>
      </c>
      <c r="B247" t="s">
        <v>13</v>
      </c>
      <c r="C247" t="s">
        <v>7</v>
      </c>
      <c r="D247">
        <v>5213</v>
      </c>
      <c r="E247">
        <v>5213</v>
      </c>
      <c r="F247">
        <v>3912</v>
      </c>
    </row>
    <row r="248" spans="1:6" x14ac:dyDescent="0.2">
      <c r="A248">
        <v>20200723</v>
      </c>
      <c r="B248" t="s">
        <v>13</v>
      </c>
      <c r="C248" t="s">
        <v>9</v>
      </c>
      <c r="D248">
        <v>4089</v>
      </c>
      <c r="E248">
        <v>4089</v>
      </c>
      <c r="F248">
        <v>3195</v>
      </c>
    </row>
    <row r="249" spans="1:6" x14ac:dyDescent="0.2">
      <c r="A249">
        <v>20200723</v>
      </c>
      <c r="B249" t="s">
        <v>122</v>
      </c>
      <c r="C249" t="s">
        <v>9</v>
      </c>
      <c r="D249">
        <v>50</v>
      </c>
      <c r="E249">
        <v>50</v>
      </c>
      <c r="F249">
        <v>38</v>
      </c>
    </row>
    <row r="250" spans="1:6" x14ac:dyDescent="0.2">
      <c r="A250">
        <v>20200723</v>
      </c>
      <c r="B250" t="s">
        <v>139</v>
      </c>
      <c r="C250" t="s">
        <v>7</v>
      </c>
      <c r="D250">
        <v>92</v>
      </c>
      <c r="E250">
        <v>0</v>
      </c>
      <c r="F250">
        <v>0</v>
      </c>
    </row>
    <row r="251" spans="1:6" x14ac:dyDescent="0.2">
      <c r="A251">
        <v>20200723</v>
      </c>
      <c r="B251" t="s">
        <v>139</v>
      </c>
      <c r="C251" t="s">
        <v>9</v>
      </c>
      <c r="D251">
        <v>101</v>
      </c>
      <c r="E251">
        <v>1</v>
      </c>
      <c r="F251">
        <v>1</v>
      </c>
    </row>
    <row r="252" spans="1:6" x14ac:dyDescent="0.2">
      <c r="A252">
        <v>20200723</v>
      </c>
      <c r="B252" t="s">
        <v>100</v>
      </c>
      <c r="C252" t="s">
        <v>7</v>
      </c>
      <c r="D252">
        <v>1317</v>
      </c>
      <c r="E252">
        <v>1317</v>
      </c>
      <c r="F252">
        <v>808</v>
      </c>
    </row>
    <row r="253" spans="1:6" x14ac:dyDescent="0.2">
      <c r="A253">
        <v>20200723</v>
      </c>
      <c r="B253" t="s">
        <v>100</v>
      </c>
      <c r="C253" t="s">
        <v>9</v>
      </c>
      <c r="D253">
        <v>1310</v>
      </c>
      <c r="E253">
        <v>1310</v>
      </c>
      <c r="F253">
        <v>796</v>
      </c>
    </row>
    <row r="254" spans="1:6" x14ac:dyDescent="0.2">
      <c r="A254">
        <v>20200723</v>
      </c>
      <c r="B254" t="s">
        <v>86</v>
      </c>
      <c r="C254" t="s">
        <v>7</v>
      </c>
      <c r="D254">
        <v>31</v>
      </c>
      <c r="E254">
        <v>27</v>
      </c>
      <c r="F254">
        <v>17</v>
      </c>
    </row>
    <row r="255" spans="1:6" x14ac:dyDescent="0.2">
      <c r="A255">
        <v>20200723</v>
      </c>
      <c r="B255" t="s">
        <v>86</v>
      </c>
      <c r="C255" t="s">
        <v>9</v>
      </c>
      <c r="D255">
        <v>37</v>
      </c>
      <c r="E255">
        <v>28</v>
      </c>
      <c r="F255">
        <v>20</v>
      </c>
    </row>
    <row r="256" spans="1:6" x14ac:dyDescent="0.2">
      <c r="A256">
        <v>20200723</v>
      </c>
      <c r="B256" t="s">
        <v>166</v>
      </c>
      <c r="C256" t="s">
        <v>7</v>
      </c>
      <c r="D256">
        <v>315</v>
      </c>
      <c r="E256">
        <v>11</v>
      </c>
      <c r="F256">
        <v>10</v>
      </c>
    </row>
    <row r="257" spans="1:6" x14ac:dyDescent="0.2">
      <c r="A257">
        <v>20200723</v>
      </c>
      <c r="B257" t="s">
        <v>166</v>
      </c>
      <c r="C257" t="s">
        <v>9</v>
      </c>
      <c r="D257">
        <v>370</v>
      </c>
      <c r="E257">
        <v>8</v>
      </c>
      <c r="F257">
        <v>5</v>
      </c>
    </row>
    <row r="258" spans="1:6" x14ac:dyDescent="0.2">
      <c r="A258">
        <v>20200723</v>
      </c>
      <c r="B258" t="s">
        <v>54</v>
      </c>
      <c r="C258" t="s">
        <v>9</v>
      </c>
      <c r="D258">
        <v>1207</v>
      </c>
      <c r="E258">
        <v>938</v>
      </c>
      <c r="F258">
        <v>461</v>
      </c>
    </row>
    <row r="259" spans="1:6" x14ac:dyDescent="0.2">
      <c r="A259">
        <v>20200723</v>
      </c>
      <c r="B259" t="s">
        <v>92</v>
      </c>
      <c r="C259" t="s">
        <v>9</v>
      </c>
      <c r="D259">
        <v>626</v>
      </c>
      <c r="E259">
        <v>411</v>
      </c>
      <c r="F259">
        <v>178</v>
      </c>
    </row>
    <row r="260" spans="1:6" x14ac:dyDescent="0.2">
      <c r="A260">
        <v>20200723</v>
      </c>
      <c r="B260" t="s">
        <v>75</v>
      </c>
      <c r="C260" t="s">
        <v>9</v>
      </c>
      <c r="D260">
        <v>1</v>
      </c>
      <c r="E260">
        <v>1</v>
      </c>
      <c r="F260">
        <v>1</v>
      </c>
    </row>
    <row r="261" spans="1:6" x14ac:dyDescent="0.2">
      <c r="A261">
        <v>20200723</v>
      </c>
      <c r="B261" t="s">
        <v>103</v>
      </c>
      <c r="C261" t="s">
        <v>7</v>
      </c>
      <c r="D261">
        <v>268</v>
      </c>
      <c r="E261">
        <v>268</v>
      </c>
      <c r="F261">
        <v>202</v>
      </c>
    </row>
    <row r="262" spans="1:6" x14ac:dyDescent="0.2">
      <c r="A262">
        <v>20200723</v>
      </c>
      <c r="B262" t="s">
        <v>103</v>
      </c>
      <c r="C262" t="s">
        <v>9</v>
      </c>
      <c r="D262">
        <v>195</v>
      </c>
      <c r="E262">
        <v>195</v>
      </c>
      <c r="F262">
        <v>155</v>
      </c>
    </row>
    <row r="263" spans="1:6" x14ac:dyDescent="0.2">
      <c r="A263">
        <v>20200723</v>
      </c>
      <c r="B263" t="s">
        <v>168</v>
      </c>
      <c r="C263" t="s">
        <v>9</v>
      </c>
      <c r="D263">
        <v>13</v>
      </c>
      <c r="E263">
        <v>8</v>
      </c>
      <c r="F263">
        <v>1</v>
      </c>
    </row>
    <row r="264" spans="1:6" x14ac:dyDescent="0.2">
      <c r="A264">
        <v>20200723</v>
      </c>
      <c r="B264" t="s">
        <v>138</v>
      </c>
      <c r="C264" t="s">
        <v>9</v>
      </c>
      <c r="D264">
        <v>205</v>
      </c>
      <c r="E264">
        <v>101</v>
      </c>
      <c r="F264">
        <v>36</v>
      </c>
    </row>
    <row r="265" spans="1:6" x14ac:dyDescent="0.2">
      <c r="A265">
        <v>20200723</v>
      </c>
      <c r="B265" t="s">
        <v>47</v>
      </c>
      <c r="C265" t="s">
        <v>9</v>
      </c>
      <c r="D265">
        <v>9</v>
      </c>
      <c r="E265">
        <v>9</v>
      </c>
      <c r="F265">
        <v>7</v>
      </c>
    </row>
    <row r="266" spans="1:6" x14ac:dyDescent="0.2">
      <c r="A266">
        <v>20200723</v>
      </c>
      <c r="B266" t="s">
        <v>141</v>
      </c>
      <c r="C266" t="s">
        <v>7</v>
      </c>
      <c r="D266">
        <v>4</v>
      </c>
      <c r="E266">
        <v>3</v>
      </c>
      <c r="F266">
        <v>1</v>
      </c>
    </row>
    <row r="267" spans="1:6" x14ac:dyDescent="0.2">
      <c r="A267">
        <v>20200723</v>
      </c>
      <c r="B267" t="s">
        <v>141</v>
      </c>
      <c r="C267" t="s">
        <v>9</v>
      </c>
      <c r="D267">
        <v>2034</v>
      </c>
      <c r="E267">
        <v>1555</v>
      </c>
      <c r="F267">
        <v>778</v>
      </c>
    </row>
    <row r="268" spans="1:6" x14ac:dyDescent="0.2">
      <c r="A268">
        <v>20200723</v>
      </c>
      <c r="B268" t="s">
        <v>114</v>
      </c>
      <c r="C268" t="s">
        <v>9</v>
      </c>
      <c r="D268">
        <v>580</v>
      </c>
      <c r="E268">
        <v>580</v>
      </c>
      <c r="F268">
        <v>391</v>
      </c>
    </row>
    <row r="269" spans="1:6" x14ac:dyDescent="0.2">
      <c r="A269">
        <v>20200723</v>
      </c>
      <c r="B269" t="s">
        <v>83</v>
      </c>
      <c r="C269" t="s">
        <v>7</v>
      </c>
      <c r="D269">
        <v>1315</v>
      </c>
      <c r="E269">
        <v>1315</v>
      </c>
      <c r="F269">
        <v>770</v>
      </c>
    </row>
    <row r="270" spans="1:6" x14ac:dyDescent="0.2">
      <c r="A270">
        <v>20200723</v>
      </c>
      <c r="B270" t="s">
        <v>83</v>
      </c>
      <c r="C270" t="s">
        <v>9</v>
      </c>
      <c r="D270">
        <v>659</v>
      </c>
      <c r="E270">
        <v>659</v>
      </c>
      <c r="F270">
        <v>399</v>
      </c>
    </row>
    <row r="271" spans="1:6" x14ac:dyDescent="0.2">
      <c r="A271">
        <v>20200723</v>
      </c>
      <c r="B271" t="s">
        <v>104</v>
      </c>
      <c r="C271" t="s">
        <v>7</v>
      </c>
      <c r="D271">
        <v>717</v>
      </c>
      <c r="E271">
        <v>717</v>
      </c>
      <c r="F271">
        <v>404</v>
      </c>
    </row>
    <row r="272" spans="1:6" x14ac:dyDescent="0.2">
      <c r="A272">
        <v>20200723</v>
      </c>
      <c r="B272" t="s">
        <v>104</v>
      </c>
      <c r="C272" t="s">
        <v>9</v>
      </c>
      <c r="D272">
        <v>1452</v>
      </c>
      <c r="E272">
        <v>1452</v>
      </c>
      <c r="F272">
        <v>761</v>
      </c>
    </row>
    <row r="273" spans="1:6" x14ac:dyDescent="0.2">
      <c r="A273">
        <v>20200723</v>
      </c>
      <c r="B273" t="s">
        <v>125</v>
      </c>
      <c r="C273" t="s">
        <v>9</v>
      </c>
      <c r="D273">
        <v>244</v>
      </c>
      <c r="E273">
        <v>244</v>
      </c>
      <c r="F273">
        <v>196</v>
      </c>
    </row>
    <row r="274" spans="1:6" x14ac:dyDescent="0.2">
      <c r="A274">
        <v>20200723</v>
      </c>
      <c r="B274" t="s">
        <v>81</v>
      </c>
      <c r="C274" t="s">
        <v>7</v>
      </c>
      <c r="D274">
        <v>596</v>
      </c>
      <c r="E274">
        <v>1</v>
      </c>
      <c r="F274">
        <v>0</v>
      </c>
    </row>
    <row r="275" spans="1:6" x14ac:dyDescent="0.2">
      <c r="A275">
        <v>20200723</v>
      </c>
      <c r="B275" t="s">
        <v>81</v>
      </c>
      <c r="C275" t="s">
        <v>9</v>
      </c>
      <c r="D275">
        <v>606</v>
      </c>
      <c r="E275">
        <v>4</v>
      </c>
      <c r="F275">
        <v>2</v>
      </c>
    </row>
    <row r="276" spans="1:6" x14ac:dyDescent="0.2">
      <c r="A276">
        <v>20200723</v>
      </c>
      <c r="B276" t="s">
        <v>14</v>
      </c>
      <c r="C276" t="s">
        <v>7</v>
      </c>
      <c r="D276">
        <v>524</v>
      </c>
      <c r="E276">
        <v>524</v>
      </c>
      <c r="F276">
        <v>412</v>
      </c>
    </row>
    <row r="277" spans="1:6" x14ac:dyDescent="0.2">
      <c r="A277">
        <v>20200723</v>
      </c>
      <c r="B277" t="s">
        <v>14</v>
      </c>
      <c r="C277" t="s">
        <v>9</v>
      </c>
      <c r="D277">
        <v>811</v>
      </c>
      <c r="E277">
        <v>811</v>
      </c>
      <c r="F277">
        <v>624</v>
      </c>
    </row>
    <row r="278" spans="1:6" x14ac:dyDescent="0.2">
      <c r="A278">
        <v>20200723</v>
      </c>
      <c r="B278" t="s">
        <v>146</v>
      </c>
      <c r="C278" t="s">
        <v>7</v>
      </c>
      <c r="D278">
        <v>226</v>
      </c>
      <c r="E278">
        <v>173</v>
      </c>
      <c r="F278">
        <v>96</v>
      </c>
    </row>
    <row r="279" spans="1:6" x14ac:dyDescent="0.2">
      <c r="A279">
        <v>20200723</v>
      </c>
      <c r="B279" t="s">
        <v>146</v>
      </c>
      <c r="C279" t="s">
        <v>9</v>
      </c>
      <c r="D279">
        <v>635</v>
      </c>
      <c r="E279">
        <v>453</v>
      </c>
      <c r="F279">
        <v>261</v>
      </c>
    </row>
    <row r="280" spans="1:6" x14ac:dyDescent="0.2">
      <c r="A280">
        <v>20200723</v>
      </c>
      <c r="B280" t="s">
        <v>48</v>
      </c>
      <c r="C280" t="s">
        <v>7</v>
      </c>
      <c r="D280">
        <v>45</v>
      </c>
      <c r="E280">
        <v>45</v>
      </c>
      <c r="F280">
        <v>35</v>
      </c>
    </row>
    <row r="281" spans="1:6" x14ac:dyDescent="0.2">
      <c r="A281">
        <v>20200723</v>
      </c>
      <c r="B281" t="s">
        <v>48</v>
      </c>
      <c r="C281" t="s">
        <v>9</v>
      </c>
      <c r="D281">
        <v>1853</v>
      </c>
      <c r="E281">
        <v>1853</v>
      </c>
      <c r="F281">
        <v>1266</v>
      </c>
    </row>
    <row r="282" spans="1:6" x14ac:dyDescent="0.2">
      <c r="A282">
        <v>20200723</v>
      </c>
      <c r="B282" t="s">
        <v>115</v>
      </c>
      <c r="C282" t="s">
        <v>7</v>
      </c>
      <c r="D282">
        <v>75</v>
      </c>
      <c r="E282">
        <v>75</v>
      </c>
      <c r="F282">
        <v>62</v>
      </c>
    </row>
    <row r="283" spans="1:6" x14ac:dyDescent="0.2">
      <c r="A283">
        <v>20200723</v>
      </c>
      <c r="B283" t="s">
        <v>115</v>
      </c>
      <c r="C283" t="s">
        <v>9</v>
      </c>
      <c r="D283">
        <v>343</v>
      </c>
      <c r="E283">
        <v>343</v>
      </c>
      <c r="F283">
        <v>251</v>
      </c>
    </row>
    <row r="284" spans="1:6" x14ac:dyDescent="0.2">
      <c r="A284">
        <v>20200723</v>
      </c>
      <c r="B284" t="s">
        <v>93</v>
      </c>
      <c r="C284" t="s">
        <v>7</v>
      </c>
      <c r="D284">
        <v>7905</v>
      </c>
      <c r="E284">
        <v>7905</v>
      </c>
      <c r="F284">
        <v>6171</v>
      </c>
    </row>
    <row r="285" spans="1:6" x14ac:dyDescent="0.2">
      <c r="A285">
        <v>20200723</v>
      </c>
      <c r="B285" t="s">
        <v>93</v>
      </c>
      <c r="C285" t="s">
        <v>9</v>
      </c>
      <c r="D285">
        <v>5271</v>
      </c>
      <c r="E285">
        <v>5271</v>
      </c>
      <c r="F285">
        <v>4172</v>
      </c>
    </row>
    <row r="286" spans="1:6" x14ac:dyDescent="0.2">
      <c r="A286">
        <v>20200723</v>
      </c>
      <c r="B286" t="s">
        <v>30</v>
      </c>
      <c r="C286" t="s">
        <v>9</v>
      </c>
      <c r="D286">
        <v>47</v>
      </c>
      <c r="E286">
        <v>47</v>
      </c>
      <c r="F286">
        <v>32</v>
      </c>
    </row>
    <row r="287" spans="1:6" x14ac:dyDescent="0.2">
      <c r="A287">
        <v>20200723</v>
      </c>
      <c r="B287" t="s">
        <v>15</v>
      </c>
      <c r="C287" t="s">
        <v>7</v>
      </c>
      <c r="D287">
        <v>2</v>
      </c>
      <c r="E287">
        <v>2</v>
      </c>
      <c r="F287">
        <v>2</v>
      </c>
    </row>
    <row r="288" spans="1:6" x14ac:dyDescent="0.2">
      <c r="A288">
        <v>20200723</v>
      </c>
      <c r="B288" t="s">
        <v>15</v>
      </c>
      <c r="C288" t="s">
        <v>9</v>
      </c>
      <c r="D288">
        <v>59</v>
      </c>
      <c r="E288">
        <v>59</v>
      </c>
      <c r="F288">
        <v>41</v>
      </c>
    </row>
    <row r="289" spans="1:6" x14ac:dyDescent="0.2">
      <c r="A289">
        <v>20200723</v>
      </c>
      <c r="B289" t="s">
        <v>55</v>
      </c>
      <c r="C289" t="s">
        <v>9</v>
      </c>
      <c r="D289">
        <v>313</v>
      </c>
      <c r="E289">
        <v>313</v>
      </c>
      <c r="F289">
        <v>208</v>
      </c>
    </row>
    <row r="290" spans="1:6" x14ac:dyDescent="0.2">
      <c r="A290">
        <v>20200723</v>
      </c>
      <c r="B290" t="s">
        <v>111</v>
      </c>
      <c r="C290" t="s">
        <v>9</v>
      </c>
      <c r="D290">
        <v>271</v>
      </c>
      <c r="E290">
        <v>271</v>
      </c>
      <c r="F290">
        <v>180</v>
      </c>
    </row>
    <row r="291" spans="1:6" x14ac:dyDescent="0.2">
      <c r="A291">
        <v>20200723</v>
      </c>
      <c r="C291" t="s">
        <v>7</v>
      </c>
      <c r="D291">
        <v>10522</v>
      </c>
      <c r="E291">
        <v>0</v>
      </c>
      <c r="F291">
        <v>0</v>
      </c>
    </row>
    <row r="292" spans="1:6" x14ac:dyDescent="0.2">
      <c r="A292">
        <v>20200723</v>
      </c>
      <c r="C292" t="s">
        <v>9</v>
      </c>
      <c r="D292">
        <v>10817</v>
      </c>
      <c r="E292">
        <v>0</v>
      </c>
      <c r="F292">
        <v>0</v>
      </c>
    </row>
    <row r="293" spans="1:6" x14ac:dyDescent="0.2">
      <c r="A293">
        <v>20200724</v>
      </c>
      <c r="B293" t="s">
        <v>50</v>
      </c>
      <c r="C293" t="s">
        <v>9</v>
      </c>
      <c r="D293">
        <v>674</v>
      </c>
      <c r="E293">
        <v>570</v>
      </c>
      <c r="F293">
        <v>508</v>
      </c>
    </row>
    <row r="294" spans="1:6" x14ac:dyDescent="0.2">
      <c r="A294">
        <v>20200724</v>
      </c>
      <c r="B294" t="s">
        <v>71</v>
      </c>
      <c r="C294" t="s">
        <v>7</v>
      </c>
      <c r="D294">
        <v>40</v>
      </c>
      <c r="E294">
        <v>40</v>
      </c>
      <c r="F294">
        <v>28</v>
      </c>
    </row>
    <row r="295" spans="1:6" x14ac:dyDescent="0.2">
      <c r="A295">
        <v>20200724</v>
      </c>
      <c r="B295" t="s">
        <v>71</v>
      </c>
      <c r="C295" t="s">
        <v>9</v>
      </c>
      <c r="D295">
        <v>201</v>
      </c>
      <c r="E295">
        <v>201</v>
      </c>
      <c r="F295">
        <v>120</v>
      </c>
    </row>
    <row r="296" spans="1:6" x14ac:dyDescent="0.2">
      <c r="A296">
        <v>20200724</v>
      </c>
      <c r="B296" t="s">
        <v>151</v>
      </c>
      <c r="C296" t="s">
        <v>9</v>
      </c>
      <c r="D296">
        <v>14</v>
      </c>
      <c r="E296">
        <v>14</v>
      </c>
      <c r="F296">
        <v>3</v>
      </c>
    </row>
    <row r="297" spans="1:6" x14ac:dyDescent="0.2">
      <c r="A297">
        <v>20200724</v>
      </c>
      <c r="B297" t="s">
        <v>132</v>
      </c>
      <c r="C297" t="s">
        <v>9</v>
      </c>
      <c r="D297">
        <v>2499</v>
      </c>
      <c r="E297">
        <v>1720</v>
      </c>
      <c r="F297">
        <v>974</v>
      </c>
    </row>
    <row r="298" spans="1:6" x14ac:dyDescent="0.2">
      <c r="A298">
        <v>20200724</v>
      </c>
      <c r="B298" t="s">
        <v>45</v>
      </c>
      <c r="C298" t="s">
        <v>7</v>
      </c>
      <c r="D298">
        <v>1569</v>
      </c>
      <c r="E298">
        <v>5</v>
      </c>
      <c r="F298">
        <v>3</v>
      </c>
    </row>
    <row r="299" spans="1:6" x14ac:dyDescent="0.2">
      <c r="A299">
        <v>20200724</v>
      </c>
      <c r="B299" t="s">
        <v>45</v>
      </c>
      <c r="C299" t="s">
        <v>9</v>
      </c>
      <c r="D299">
        <v>1643</v>
      </c>
      <c r="E299">
        <v>6</v>
      </c>
      <c r="F299">
        <v>1</v>
      </c>
    </row>
    <row r="300" spans="1:6" x14ac:dyDescent="0.2">
      <c r="A300">
        <v>20200724</v>
      </c>
      <c r="B300" t="s">
        <v>69</v>
      </c>
      <c r="C300" t="s">
        <v>7</v>
      </c>
      <c r="D300">
        <v>561</v>
      </c>
      <c r="E300">
        <v>5</v>
      </c>
      <c r="F300">
        <v>4</v>
      </c>
    </row>
    <row r="301" spans="1:6" x14ac:dyDescent="0.2">
      <c r="A301">
        <v>20200724</v>
      </c>
      <c r="B301" t="s">
        <v>69</v>
      </c>
      <c r="C301" t="s">
        <v>9</v>
      </c>
      <c r="D301">
        <v>564</v>
      </c>
      <c r="E301">
        <v>2</v>
      </c>
      <c r="F301">
        <v>2</v>
      </c>
    </row>
    <row r="302" spans="1:6" x14ac:dyDescent="0.2">
      <c r="A302">
        <v>20200724</v>
      </c>
      <c r="B302" t="s">
        <v>123</v>
      </c>
      <c r="C302" t="s">
        <v>7</v>
      </c>
      <c r="D302">
        <v>791</v>
      </c>
      <c r="E302">
        <v>0</v>
      </c>
      <c r="F302">
        <v>0</v>
      </c>
    </row>
    <row r="303" spans="1:6" x14ac:dyDescent="0.2">
      <c r="A303">
        <v>20200724</v>
      </c>
      <c r="B303" t="s">
        <v>123</v>
      </c>
      <c r="C303" t="s">
        <v>9</v>
      </c>
      <c r="D303">
        <v>805</v>
      </c>
      <c r="E303">
        <v>0</v>
      </c>
      <c r="F303">
        <v>0</v>
      </c>
    </row>
    <row r="304" spans="1:6" x14ac:dyDescent="0.2">
      <c r="A304">
        <v>20200724</v>
      </c>
      <c r="B304" t="s">
        <v>101</v>
      </c>
      <c r="C304" t="s">
        <v>7</v>
      </c>
      <c r="D304">
        <v>1409</v>
      </c>
      <c r="E304">
        <v>3</v>
      </c>
      <c r="F304">
        <v>1</v>
      </c>
    </row>
    <row r="305" spans="1:6" x14ac:dyDescent="0.2">
      <c r="A305">
        <v>20200724</v>
      </c>
      <c r="B305" t="s">
        <v>101</v>
      </c>
      <c r="C305" t="s">
        <v>9</v>
      </c>
      <c r="D305">
        <v>1395</v>
      </c>
      <c r="E305">
        <v>5</v>
      </c>
      <c r="F305">
        <v>4</v>
      </c>
    </row>
    <row r="306" spans="1:6" x14ac:dyDescent="0.2">
      <c r="A306">
        <v>20200724</v>
      </c>
      <c r="B306" t="s">
        <v>31</v>
      </c>
      <c r="C306" t="s">
        <v>9</v>
      </c>
      <c r="D306">
        <v>192</v>
      </c>
      <c r="E306">
        <v>131</v>
      </c>
      <c r="F306">
        <v>21</v>
      </c>
    </row>
    <row r="307" spans="1:6" x14ac:dyDescent="0.2">
      <c r="A307">
        <v>20200724</v>
      </c>
      <c r="B307" t="s">
        <v>155</v>
      </c>
      <c r="C307" t="s">
        <v>7</v>
      </c>
      <c r="D307">
        <v>2</v>
      </c>
      <c r="E307">
        <v>2</v>
      </c>
      <c r="F307">
        <v>2</v>
      </c>
    </row>
    <row r="308" spans="1:6" x14ac:dyDescent="0.2">
      <c r="A308">
        <v>20200724</v>
      </c>
      <c r="B308" t="s">
        <v>155</v>
      </c>
      <c r="C308" t="s">
        <v>9</v>
      </c>
      <c r="D308">
        <v>436</v>
      </c>
      <c r="E308">
        <v>436</v>
      </c>
      <c r="F308">
        <v>275</v>
      </c>
    </row>
    <row r="309" spans="1:6" x14ac:dyDescent="0.2">
      <c r="A309">
        <v>20200724</v>
      </c>
      <c r="B309" t="s">
        <v>152</v>
      </c>
      <c r="C309" t="s">
        <v>9</v>
      </c>
      <c r="D309">
        <v>761</v>
      </c>
      <c r="E309">
        <v>582</v>
      </c>
      <c r="F309">
        <v>204</v>
      </c>
    </row>
    <row r="310" spans="1:6" x14ac:dyDescent="0.2">
      <c r="A310">
        <v>20200724</v>
      </c>
      <c r="B310" t="s">
        <v>11</v>
      </c>
      <c r="C310" t="s">
        <v>7</v>
      </c>
      <c r="D310">
        <v>12102</v>
      </c>
      <c r="E310">
        <v>1</v>
      </c>
      <c r="F310">
        <v>1</v>
      </c>
    </row>
    <row r="311" spans="1:6" x14ac:dyDescent="0.2">
      <c r="A311">
        <v>20200724</v>
      </c>
      <c r="B311" t="s">
        <v>11</v>
      </c>
      <c r="C311" t="s">
        <v>9</v>
      </c>
      <c r="D311">
        <v>11792</v>
      </c>
      <c r="E311">
        <v>1</v>
      </c>
      <c r="F311">
        <v>1</v>
      </c>
    </row>
    <row r="312" spans="1:6" x14ac:dyDescent="0.2">
      <c r="A312">
        <v>20200724</v>
      </c>
      <c r="B312" t="s">
        <v>16</v>
      </c>
      <c r="C312" t="s">
        <v>7</v>
      </c>
      <c r="D312">
        <v>3749</v>
      </c>
      <c r="E312">
        <v>3749</v>
      </c>
      <c r="F312">
        <v>2654</v>
      </c>
    </row>
    <row r="313" spans="1:6" x14ac:dyDescent="0.2">
      <c r="A313">
        <v>20200724</v>
      </c>
      <c r="B313" t="s">
        <v>16</v>
      </c>
      <c r="C313" t="s">
        <v>9</v>
      </c>
      <c r="D313">
        <v>3094</v>
      </c>
      <c r="E313">
        <v>3094</v>
      </c>
      <c r="F313">
        <v>2205</v>
      </c>
    </row>
    <row r="314" spans="1:6" x14ac:dyDescent="0.2">
      <c r="A314">
        <v>20200724</v>
      </c>
      <c r="B314" t="s">
        <v>6</v>
      </c>
      <c r="C314" t="s">
        <v>7</v>
      </c>
      <c r="D314">
        <v>7349</v>
      </c>
      <c r="E314">
        <v>2493</v>
      </c>
      <c r="F314">
        <v>1860</v>
      </c>
    </row>
    <row r="315" spans="1:6" x14ac:dyDescent="0.2">
      <c r="A315">
        <v>20200724</v>
      </c>
      <c r="B315" t="s">
        <v>6</v>
      </c>
      <c r="C315" t="s">
        <v>9</v>
      </c>
      <c r="D315">
        <v>22829</v>
      </c>
      <c r="E315">
        <v>12302</v>
      </c>
      <c r="F315">
        <v>9758</v>
      </c>
    </row>
    <row r="316" spans="1:6" x14ac:dyDescent="0.2">
      <c r="A316">
        <v>20200724</v>
      </c>
      <c r="B316" t="s">
        <v>41</v>
      </c>
      <c r="C316" t="s">
        <v>7</v>
      </c>
      <c r="D316">
        <v>2740</v>
      </c>
      <c r="E316">
        <v>1805</v>
      </c>
      <c r="F316">
        <v>1011</v>
      </c>
    </row>
    <row r="317" spans="1:6" x14ac:dyDescent="0.2">
      <c r="A317">
        <v>20200724</v>
      </c>
      <c r="B317" t="s">
        <v>41</v>
      </c>
      <c r="C317" t="s">
        <v>9</v>
      </c>
      <c r="D317">
        <v>2749</v>
      </c>
      <c r="E317">
        <v>1851</v>
      </c>
      <c r="F317">
        <v>997</v>
      </c>
    </row>
    <row r="318" spans="1:6" x14ac:dyDescent="0.2">
      <c r="A318">
        <v>20200724</v>
      </c>
      <c r="B318" t="s">
        <v>19</v>
      </c>
      <c r="C318" t="s">
        <v>7</v>
      </c>
      <c r="D318">
        <v>1442</v>
      </c>
      <c r="E318">
        <v>1142</v>
      </c>
      <c r="F318">
        <v>678</v>
      </c>
    </row>
    <row r="319" spans="1:6" x14ac:dyDescent="0.2">
      <c r="A319">
        <v>20200724</v>
      </c>
      <c r="B319" t="s">
        <v>19</v>
      </c>
      <c r="C319" t="s">
        <v>9</v>
      </c>
      <c r="D319">
        <v>317</v>
      </c>
      <c r="E319">
        <v>242</v>
      </c>
      <c r="F319">
        <v>140</v>
      </c>
    </row>
    <row r="320" spans="1:6" x14ac:dyDescent="0.2">
      <c r="A320">
        <v>20200724</v>
      </c>
      <c r="B320" t="s">
        <v>73</v>
      </c>
      <c r="C320" t="s">
        <v>9</v>
      </c>
      <c r="D320">
        <v>319</v>
      </c>
      <c r="E320">
        <v>319</v>
      </c>
      <c r="F320">
        <v>115</v>
      </c>
    </row>
    <row r="321" spans="1:6" x14ac:dyDescent="0.2">
      <c r="A321">
        <v>20200724</v>
      </c>
      <c r="B321" t="s">
        <v>20</v>
      </c>
      <c r="C321" t="s">
        <v>7</v>
      </c>
      <c r="D321">
        <v>80</v>
      </c>
      <c r="E321">
        <v>56</v>
      </c>
      <c r="F321">
        <v>28</v>
      </c>
    </row>
    <row r="322" spans="1:6" x14ac:dyDescent="0.2">
      <c r="A322">
        <v>20200724</v>
      </c>
      <c r="B322" t="s">
        <v>20</v>
      </c>
      <c r="C322" t="s">
        <v>9</v>
      </c>
      <c r="D322">
        <v>150</v>
      </c>
      <c r="E322">
        <v>89</v>
      </c>
      <c r="F322">
        <v>43</v>
      </c>
    </row>
    <row r="323" spans="1:6" x14ac:dyDescent="0.2">
      <c r="A323">
        <v>20200724</v>
      </c>
      <c r="B323" t="s">
        <v>56</v>
      </c>
      <c r="C323" t="s">
        <v>9</v>
      </c>
      <c r="D323">
        <v>18</v>
      </c>
      <c r="E323">
        <v>18</v>
      </c>
      <c r="F323">
        <v>13</v>
      </c>
    </row>
    <row r="324" spans="1:6" x14ac:dyDescent="0.2">
      <c r="A324">
        <v>20200724</v>
      </c>
      <c r="B324" t="s">
        <v>57</v>
      </c>
      <c r="C324" t="s">
        <v>7</v>
      </c>
      <c r="D324">
        <v>2570</v>
      </c>
      <c r="E324">
        <v>2188</v>
      </c>
      <c r="F324">
        <v>1315</v>
      </c>
    </row>
    <row r="325" spans="1:6" x14ac:dyDescent="0.2">
      <c r="A325">
        <v>20200724</v>
      </c>
      <c r="B325" t="s">
        <v>57</v>
      </c>
      <c r="C325" t="s">
        <v>9</v>
      </c>
      <c r="D325">
        <v>1133</v>
      </c>
      <c r="E325">
        <v>944</v>
      </c>
      <c r="F325">
        <v>580</v>
      </c>
    </row>
    <row r="326" spans="1:6" x14ac:dyDescent="0.2">
      <c r="A326">
        <v>20200724</v>
      </c>
      <c r="B326" t="s">
        <v>17</v>
      </c>
      <c r="C326" t="s">
        <v>7</v>
      </c>
      <c r="D326">
        <v>349</v>
      </c>
      <c r="E326">
        <v>6</v>
      </c>
      <c r="F326">
        <v>4</v>
      </c>
    </row>
    <row r="327" spans="1:6" x14ac:dyDescent="0.2">
      <c r="A327">
        <v>20200724</v>
      </c>
      <c r="B327" t="s">
        <v>17</v>
      </c>
      <c r="C327" t="s">
        <v>9</v>
      </c>
      <c r="D327">
        <v>937</v>
      </c>
      <c r="E327">
        <v>392</v>
      </c>
      <c r="F327">
        <v>133</v>
      </c>
    </row>
    <row r="328" spans="1:6" x14ac:dyDescent="0.2">
      <c r="A328">
        <v>20200724</v>
      </c>
      <c r="B328" t="s">
        <v>72</v>
      </c>
      <c r="C328" t="s">
        <v>7</v>
      </c>
      <c r="D328">
        <v>193</v>
      </c>
      <c r="E328">
        <v>193</v>
      </c>
      <c r="F328">
        <v>135</v>
      </c>
    </row>
    <row r="329" spans="1:6" x14ac:dyDescent="0.2">
      <c r="A329">
        <v>20200724</v>
      </c>
      <c r="B329" t="s">
        <v>72</v>
      </c>
      <c r="C329" t="s">
        <v>9</v>
      </c>
      <c r="D329">
        <v>710</v>
      </c>
      <c r="E329">
        <v>710</v>
      </c>
      <c r="F329">
        <v>535</v>
      </c>
    </row>
    <row r="330" spans="1:6" x14ac:dyDescent="0.2">
      <c r="A330">
        <v>20200724</v>
      </c>
      <c r="B330" t="s">
        <v>28</v>
      </c>
      <c r="C330" t="s">
        <v>9</v>
      </c>
      <c r="D330">
        <v>83</v>
      </c>
      <c r="E330">
        <v>83</v>
      </c>
      <c r="F330">
        <v>68</v>
      </c>
    </row>
    <row r="331" spans="1:6" x14ac:dyDescent="0.2">
      <c r="A331">
        <v>20200724</v>
      </c>
      <c r="B331" t="s">
        <v>66</v>
      </c>
      <c r="C331" t="s">
        <v>7</v>
      </c>
      <c r="D331">
        <v>20</v>
      </c>
      <c r="E331">
        <v>16</v>
      </c>
      <c r="F331">
        <v>8</v>
      </c>
    </row>
    <row r="332" spans="1:6" x14ac:dyDescent="0.2">
      <c r="A332">
        <v>20200724</v>
      </c>
      <c r="B332" t="s">
        <v>66</v>
      </c>
      <c r="C332" t="s">
        <v>9</v>
      </c>
      <c r="D332">
        <v>15</v>
      </c>
      <c r="E332">
        <v>8</v>
      </c>
      <c r="F332">
        <v>4</v>
      </c>
    </row>
    <row r="333" spans="1:6" x14ac:dyDescent="0.2">
      <c r="A333">
        <v>20200724</v>
      </c>
      <c r="B333" t="s">
        <v>156</v>
      </c>
      <c r="C333" t="s">
        <v>9</v>
      </c>
      <c r="D333">
        <v>413</v>
      </c>
      <c r="E333">
        <v>224</v>
      </c>
      <c r="F333">
        <v>156</v>
      </c>
    </row>
    <row r="334" spans="1:6" x14ac:dyDescent="0.2">
      <c r="A334">
        <v>20200724</v>
      </c>
      <c r="B334" t="s">
        <v>76</v>
      </c>
      <c r="C334" t="s">
        <v>7</v>
      </c>
      <c r="D334">
        <v>1061</v>
      </c>
      <c r="E334">
        <v>1061</v>
      </c>
      <c r="F334">
        <v>770</v>
      </c>
    </row>
    <row r="335" spans="1:6" x14ac:dyDescent="0.2">
      <c r="A335">
        <v>20200724</v>
      </c>
      <c r="B335" t="s">
        <v>76</v>
      </c>
      <c r="C335" t="s">
        <v>9</v>
      </c>
      <c r="D335">
        <v>745</v>
      </c>
      <c r="E335">
        <v>745</v>
      </c>
      <c r="F335">
        <v>575</v>
      </c>
    </row>
    <row r="336" spans="1:6" x14ac:dyDescent="0.2">
      <c r="A336">
        <v>20200724</v>
      </c>
      <c r="B336" t="s">
        <v>62</v>
      </c>
      <c r="C336" t="s">
        <v>9</v>
      </c>
      <c r="D336">
        <v>31</v>
      </c>
      <c r="E336">
        <v>24</v>
      </c>
      <c r="F336">
        <v>14</v>
      </c>
    </row>
    <row r="337" spans="1:6" x14ac:dyDescent="0.2">
      <c r="A337">
        <v>20200724</v>
      </c>
      <c r="B337" t="s">
        <v>77</v>
      </c>
      <c r="C337" t="s">
        <v>7</v>
      </c>
      <c r="D337">
        <v>516</v>
      </c>
      <c r="E337">
        <v>389</v>
      </c>
      <c r="F337">
        <v>241</v>
      </c>
    </row>
    <row r="338" spans="1:6" x14ac:dyDescent="0.2">
      <c r="A338">
        <v>20200724</v>
      </c>
      <c r="B338" t="s">
        <v>77</v>
      </c>
      <c r="C338" t="s">
        <v>9</v>
      </c>
      <c r="D338">
        <v>677</v>
      </c>
      <c r="E338">
        <v>486</v>
      </c>
      <c r="F338">
        <v>301</v>
      </c>
    </row>
    <row r="339" spans="1:6" x14ac:dyDescent="0.2">
      <c r="A339">
        <v>20200724</v>
      </c>
      <c r="B339" t="s">
        <v>12</v>
      </c>
      <c r="C339" t="s">
        <v>7</v>
      </c>
      <c r="D339">
        <v>1191</v>
      </c>
      <c r="E339">
        <v>337</v>
      </c>
      <c r="F339">
        <v>265</v>
      </c>
    </row>
    <row r="340" spans="1:6" x14ac:dyDescent="0.2">
      <c r="A340">
        <v>20200724</v>
      </c>
      <c r="B340" t="s">
        <v>12</v>
      </c>
      <c r="C340" t="s">
        <v>9</v>
      </c>
      <c r="D340">
        <v>1103</v>
      </c>
      <c r="E340">
        <v>266</v>
      </c>
      <c r="F340">
        <v>209</v>
      </c>
    </row>
    <row r="341" spans="1:6" x14ac:dyDescent="0.2">
      <c r="A341">
        <v>20200724</v>
      </c>
      <c r="B341" t="s">
        <v>53</v>
      </c>
      <c r="C341" t="s">
        <v>9</v>
      </c>
      <c r="D341">
        <v>139</v>
      </c>
      <c r="E341">
        <v>139</v>
      </c>
      <c r="F341">
        <v>107</v>
      </c>
    </row>
    <row r="342" spans="1:6" x14ac:dyDescent="0.2">
      <c r="A342">
        <v>20200724</v>
      </c>
      <c r="B342" t="s">
        <v>116</v>
      </c>
      <c r="C342" t="s">
        <v>9</v>
      </c>
      <c r="D342">
        <v>490</v>
      </c>
      <c r="E342">
        <v>426</v>
      </c>
      <c r="F342">
        <v>152</v>
      </c>
    </row>
    <row r="343" spans="1:6" x14ac:dyDescent="0.2">
      <c r="A343">
        <v>20200724</v>
      </c>
      <c r="B343" t="s">
        <v>13</v>
      </c>
      <c r="C343" t="s">
        <v>7</v>
      </c>
      <c r="D343">
        <v>3177</v>
      </c>
      <c r="E343">
        <v>3177</v>
      </c>
      <c r="F343">
        <v>2263</v>
      </c>
    </row>
    <row r="344" spans="1:6" x14ac:dyDescent="0.2">
      <c r="A344">
        <v>20200724</v>
      </c>
      <c r="B344" t="s">
        <v>13</v>
      </c>
      <c r="C344" t="s">
        <v>9</v>
      </c>
      <c r="D344">
        <v>2276</v>
      </c>
      <c r="E344">
        <v>2276</v>
      </c>
      <c r="F344">
        <v>1743</v>
      </c>
    </row>
    <row r="345" spans="1:6" x14ac:dyDescent="0.2">
      <c r="A345">
        <v>20200724</v>
      </c>
      <c r="B345" t="s">
        <v>139</v>
      </c>
      <c r="C345" t="s">
        <v>7</v>
      </c>
      <c r="D345">
        <v>101</v>
      </c>
      <c r="E345">
        <v>1</v>
      </c>
      <c r="F345">
        <v>1</v>
      </c>
    </row>
    <row r="346" spans="1:6" x14ac:dyDescent="0.2">
      <c r="A346">
        <v>20200724</v>
      </c>
      <c r="B346" t="s">
        <v>139</v>
      </c>
      <c r="C346" t="s">
        <v>9</v>
      </c>
      <c r="D346">
        <v>101</v>
      </c>
      <c r="E346">
        <v>1</v>
      </c>
      <c r="F346">
        <v>1</v>
      </c>
    </row>
    <row r="347" spans="1:6" x14ac:dyDescent="0.2">
      <c r="A347">
        <v>20200724</v>
      </c>
      <c r="B347" t="s">
        <v>100</v>
      </c>
      <c r="C347" t="s">
        <v>7</v>
      </c>
      <c r="D347">
        <v>785</v>
      </c>
      <c r="E347">
        <v>785</v>
      </c>
      <c r="F347">
        <v>434</v>
      </c>
    </row>
    <row r="348" spans="1:6" x14ac:dyDescent="0.2">
      <c r="A348">
        <v>20200724</v>
      </c>
      <c r="B348" t="s">
        <v>100</v>
      </c>
      <c r="C348" t="s">
        <v>9</v>
      </c>
      <c r="D348">
        <v>864</v>
      </c>
      <c r="E348">
        <v>864</v>
      </c>
      <c r="F348">
        <v>525</v>
      </c>
    </row>
    <row r="349" spans="1:6" x14ac:dyDescent="0.2">
      <c r="A349">
        <v>20200724</v>
      </c>
      <c r="B349" t="s">
        <v>86</v>
      </c>
      <c r="C349" t="s">
        <v>9</v>
      </c>
      <c r="D349">
        <v>77</v>
      </c>
      <c r="E349">
        <v>64</v>
      </c>
      <c r="F349">
        <v>50</v>
      </c>
    </row>
    <row r="350" spans="1:6" x14ac:dyDescent="0.2">
      <c r="A350">
        <v>20200724</v>
      </c>
      <c r="B350" t="s">
        <v>54</v>
      </c>
      <c r="C350" t="s">
        <v>9</v>
      </c>
      <c r="D350">
        <v>868</v>
      </c>
      <c r="E350">
        <v>692</v>
      </c>
      <c r="F350">
        <v>308</v>
      </c>
    </row>
    <row r="351" spans="1:6" x14ac:dyDescent="0.2">
      <c r="A351">
        <v>20200724</v>
      </c>
      <c r="B351" t="s">
        <v>92</v>
      </c>
      <c r="C351" t="s">
        <v>9</v>
      </c>
      <c r="D351">
        <v>343</v>
      </c>
      <c r="E351">
        <v>248</v>
      </c>
      <c r="F351">
        <v>103</v>
      </c>
    </row>
    <row r="352" spans="1:6" x14ac:dyDescent="0.2">
      <c r="A352">
        <v>20200724</v>
      </c>
      <c r="B352" t="s">
        <v>75</v>
      </c>
      <c r="C352" t="s">
        <v>9</v>
      </c>
      <c r="D352">
        <v>80</v>
      </c>
      <c r="E352">
        <v>80</v>
      </c>
      <c r="F352">
        <v>58</v>
      </c>
    </row>
    <row r="353" spans="1:6" x14ac:dyDescent="0.2">
      <c r="A353">
        <v>20200724</v>
      </c>
      <c r="B353" t="s">
        <v>103</v>
      </c>
      <c r="C353" t="s">
        <v>7</v>
      </c>
      <c r="D353">
        <v>21</v>
      </c>
      <c r="E353">
        <v>21</v>
      </c>
      <c r="F353">
        <v>14</v>
      </c>
    </row>
    <row r="354" spans="1:6" x14ac:dyDescent="0.2">
      <c r="A354">
        <v>20200724</v>
      </c>
      <c r="B354" t="s">
        <v>103</v>
      </c>
      <c r="C354" t="s">
        <v>9</v>
      </c>
      <c r="D354">
        <v>87</v>
      </c>
      <c r="E354">
        <v>87</v>
      </c>
      <c r="F354">
        <v>61</v>
      </c>
    </row>
    <row r="355" spans="1:6" x14ac:dyDescent="0.2">
      <c r="A355">
        <v>20200724</v>
      </c>
      <c r="B355" t="s">
        <v>138</v>
      </c>
      <c r="C355" t="s">
        <v>9</v>
      </c>
      <c r="D355">
        <v>2</v>
      </c>
      <c r="E355">
        <v>1</v>
      </c>
      <c r="F355">
        <v>1</v>
      </c>
    </row>
    <row r="356" spans="1:6" x14ac:dyDescent="0.2">
      <c r="A356">
        <v>20200724</v>
      </c>
      <c r="B356" t="s">
        <v>141</v>
      </c>
      <c r="C356" t="s">
        <v>7</v>
      </c>
      <c r="D356">
        <v>1</v>
      </c>
      <c r="E356">
        <v>1</v>
      </c>
      <c r="F356">
        <v>0</v>
      </c>
    </row>
    <row r="357" spans="1:6" x14ac:dyDescent="0.2">
      <c r="A357">
        <v>20200724</v>
      </c>
      <c r="B357" t="s">
        <v>141</v>
      </c>
      <c r="C357" t="s">
        <v>9</v>
      </c>
      <c r="D357">
        <v>1692</v>
      </c>
      <c r="E357">
        <v>1269</v>
      </c>
      <c r="F357">
        <v>610</v>
      </c>
    </row>
    <row r="358" spans="1:6" x14ac:dyDescent="0.2">
      <c r="A358">
        <v>20200724</v>
      </c>
      <c r="B358" t="s">
        <v>114</v>
      </c>
      <c r="C358" t="s">
        <v>9</v>
      </c>
      <c r="D358">
        <v>468</v>
      </c>
      <c r="E358">
        <v>468</v>
      </c>
      <c r="F358">
        <v>334</v>
      </c>
    </row>
    <row r="359" spans="1:6" x14ac:dyDescent="0.2">
      <c r="A359">
        <v>20200724</v>
      </c>
      <c r="B359" t="s">
        <v>171</v>
      </c>
      <c r="C359" t="s">
        <v>9</v>
      </c>
      <c r="D359">
        <v>15</v>
      </c>
      <c r="E359">
        <v>13</v>
      </c>
      <c r="F359">
        <v>2</v>
      </c>
    </row>
    <row r="360" spans="1:6" x14ac:dyDescent="0.2">
      <c r="A360">
        <v>20200724</v>
      </c>
      <c r="B360" t="s">
        <v>83</v>
      </c>
      <c r="C360" t="s">
        <v>7</v>
      </c>
      <c r="D360">
        <v>367</v>
      </c>
      <c r="E360">
        <v>367</v>
      </c>
      <c r="F360">
        <v>209</v>
      </c>
    </row>
    <row r="361" spans="1:6" x14ac:dyDescent="0.2">
      <c r="A361">
        <v>20200724</v>
      </c>
      <c r="B361" t="s">
        <v>83</v>
      </c>
      <c r="C361" t="s">
        <v>9</v>
      </c>
      <c r="D361">
        <v>330</v>
      </c>
      <c r="E361">
        <v>330</v>
      </c>
      <c r="F361">
        <v>190</v>
      </c>
    </row>
    <row r="362" spans="1:6" x14ac:dyDescent="0.2">
      <c r="A362">
        <v>20200724</v>
      </c>
      <c r="B362" t="s">
        <v>104</v>
      </c>
      <c r="C362" t="s">
        <v>7</v>
      </c>
      <c r="D362">
        <v>282</v>
      </c>
      <c r="E362">
        <v>282</v>
      </c>
      <c r="F362">
        <v>146</v>
      </c>
    </row>
    <row r="363" spans="1:6" x14ac:dyDescent="0.2">
      <c r="A363">
        <v>20200724</v>
      </c>
      <c r="B363" t="s">
        <v>104</v>
      </c>
      <c r="C363" t="s">
        <v>9</v>
      </c>
      <c r="D363">
        <v>1160</v>
      </c>
      <c r="E363">
        <v>1160</v>
      </c>
      <c r="F363">
        <v>629</v>
      </c>
    </row>
    <row r="364" spans="1:6" x14ac:dyDescent="0.2">
      <c r="A364">
        <v>20200724</v>
      </c>
      <c r="B364" t="s">
        <v>125</v>
      </c>
      <c r="C364" t="s">
        <v>9</v>
      </c>
      <c r="D364">
        <v>150</v>
      </c>
      <c r="E364">
        <v>150</v>
      </c>
      <c r="F364">
        <v>104</v>
      </c>
    </row>
    <row r="365" spans="1:6" x14ac:dyDescent="0.2">
      <c r="A365">
        <v>20200724</v>
      </c>
      <c r="B365" t="s">
        <v>81</v>
      </c>
      <c r="C365" t="s">
        <v>7</v>
      </c>
      <c r="D365">
        <v>425</v>
      </c>
      <c r="E365">
        <v>1</v>
      </c>
      <c r="F365">
        <v>1</v>
      </c>
    </row>
    <row r="366" spans="1:6" x14ac:dyDescent="0.2">
      <c r="A366">
        <v>20200724</v>
      </c>
      <c r="B366" t="s">
        <v>81</v>
      </c>
      <c r="C366" t="s">
        <v>9</v>
      </c>
      <c r="D366">
        <v>410</v>
      </c>
      <c r="E366">
        <v>1</v>
      </c>
      <c r="F366">
        <v>1</v>
      </c>
    </row>
    <row r="367" spans="1:6" x14ac:dyDescent="0.2">
      <c r="A367">
        <v>20200724</v>
      </c>
      <c r="B367" t="s">
        <v>14</v>
      </c>
      <c r="C367" t="s">
        <v>7</v>
      </c>
      <c r="D367">
        <v>102</v>
      </c>
      <c r="E367">
        <v>102</v>
      </c>
      <c r="F367">
        <v>72</v>
      </c>
    </row>
    <row r="368" spans="1:6" x14ac:dyDescent="0.2">
      <c r="A368">
        <v>20200724</v>
      </c>
      <c r="B368" t="s">
        <v>14</v>
      </c>
      <c r="C368" t="s">
        <v>9</v>
      </c>
      <c r="D368">
        <v>509</v>
      </c>
      <c r="E368">
        <v>509</v>
      </c>
      <c r="F368">
        <v>407</v>
      </c>
    </row>
    <row r="369" spans="1:6" x14ac:dyDescent="0.2">
      <c r="A369">
        <v>20200724</v>
      </c>
      <c r="B369" t="s">
        <v>146</v>
      </c>
      <c r="C369" t="s">
        <v>7</v>
      </c>
      <c r="D369">
        <v>7</v>
      </c>
      <c r="E369">
        <v>6</v>
      </c>
      <c r="F369">
        <v>2</v>
      </c>
    </row>
    <row r="370" spans="1:6" x14ac:dyDescent="0.2">
      <c r="A370">
        <v>20200724</v>
      </c>
      <c r="B370" t="s">
        <v>146</v>
      </c>
      <c r="C370" t="s">
        <v>9</v>
      </c>
      <c r="D370">
        <v>274</v>
      </c>
      <c r="E370">
        <v>154</v>
      </c>
      <c r="F370">
        <v>73</v>
      </c>
    </row>
    <row r="371" spans="1:6" x14ac:dyDescent="0.2">
      <c r="A371">
        <v>20200724</v>
      </c>
      <c r="B371" t="s">
        <v>48</v>
      </c>
      <c r="C371" t="s">
        <v>7</v>
      </c>
      <c r="D371">
        <v>2</v>
      </c>
      <c r="E371">
        <v>2</v>
      </c>
      <c r="F371">
        <v>2</v>
      </c>
    </row>
    <row r="372" spans="1:6" x14ac:dyDescent="0.2">
      <c r="A372">
        <v>20200724</v>
      </c>
      <c r="B372" t="s">
        <v>48</v>
      </c>
      <c r="C372" t="s">
        <v>9</v>
      </c>
      <c r="D372">
        <v>538</v>
      </c>
      <c r="E372">
        <v>538</v>
      </c>
      <c r="F372">
        <v>337</v>
      </c>
    </row>
    <row r="373" spans="1:6" x14ac:dyDescent="0.2">
      <c r="A373">
        <v>20200724</v>
      </c>
      <c r="B373" t="s">
        <v>115</v>
      </c>
      <c r="C373" t="s">
        <v>7</v>
      </c>
      <c r="D373">
        <v>2</v>
      </c>
      <c r="E373">
        <v>2</v>
      </c>
      <c r="F373">
        <v>2</v>
      </c>
    </row>
    <row r="374" spans="1:6" x14ac:dyDescent="0.2">
      <c r="A374">
        <v>20200724</v>
      </c>
      <c r="B374" t="s">
        <v>115</v>
      </c>
      <c r="C374" t="s">
        <v>9</v>
      </c>
      <c r="D374">
        <v>213</v>
      </c>
      <c r="E374">
        <v>213</v>
      </c>
      <c r="F374">
        <v>162</v>
      </c>
    </row>
    <row r="375" spans="1:6" x14ac:dyDescent="0.2">
      <c r="A375">
        <v>20200724</v>
      </c>
      <c r="B375" t="s">
        <v>93</v>
      </c>
      <c r="C375" t="s">
        <v>7</v>
      </c>
      <c r="D375">
        <v>6410</v>
      </c>
      <c r="E375">
        <v>6410</v>
      </c>
      <c r="F375">
        <v>4886</v>
      </c>
    </row>
    <row r="376" spans="1:6" x14ac:dyDescent="0.2">
      <c r="A376">
        <v>20200724</v>
      </c>
      <c r="B376" t="s">
        <v>93</v>
      </c>
      <c r="C376" t="s">
        <v>9</v>
      </c>
      <c r="D376">
        <v>2525</v>
      </c>
      <c r="E376">
        <v>2525</v>
      </c>
      <c r="F376">
        <v>1951</v>
      </c>
    </row>
    <row r="377" spans="1:6" x14ac:dyDescent="0.2">
      <c r="A377">
        <v>20200724</v>
      </c>
      <c r="B377" t="s">
        <v>30</v>
      </c>
      <c r="C377" t="s">
        <v>9</v>
      </c>
      <c r="D377">
        <v>32</v>
      </c>
      <c r="E377">
        <v>32</v>
      </c>
      <c r="F377">
        <v>20</v>
      </c>
    </row>
    <row r="378" spans="1:6" x14ac:dyDescent="0.2">
      <c r="A378">
        <v>20200724</v>
      </c>
      <c r="B378" t="s">
        <v>15</v>
      </c>
      <c r="C378" t="s">
        <v>9</v>
      </c>
      <c r="D378">
        <v>39</v>
      </c>
      <c r="E378">
        <v>39</v>
      </c>
      <c r="F378">
        <v>29</v>
      </c>
    </row>
    <row r="379" spans="1:6" x14ac:dyDescent="0.2">
      <c r="A379">
        <v>20200724</v>
      </c>
      <c r="B379" t="s">
        <v>55</v>
      </c>
      <c r="C379" t="s">
        <v>9</v>
      </c>
      <c r="D379">
        <v>240</v>
      </c>
      <c r="E379">
        <v>240</v>
      </c>
      <c r="F379">
        <v>171</v>
      </c>
    </row>
    <row r="380" spans="1:6" x14ac:dyDescent="0.2">
      <c r="A380">
        <v>20200724</v>
      </c>
      <c r="B380" t="s">
        <v>111</v>
      </c>
      <c r="C380" t="s">
        <v>9</v>
      </c>
      <c r="D380">
        <v>293</v>
      </c>
      <c r="E380">
        <v>293</v>
      </c>
      <c r="F380">
        <v>176</v>
      </c>
    </row>
    <row r="381" spans="1:6" x14ac:dyDescent="0.2">
      <c r="A381">
        <v>20200724</v>
      </c>
      <c r="B381" t="s">
        <v>46</v>
      </c>
      <c r="C381" t="s">
        <v>9</v>
      </c>
      <c r="D381">
        <v>21</v>
      </c>
      <c r="E381">
        <v>21</v>
      </c>
      <c r="F381">
        <v>16</v>
      </c>
    </row>
    <row r="382" spans="1:6" x14ac:dyDescent="0.2">
      <c r="A382">
        <v>20200724</v>
      </c>
      <c r="C382" t="s">
        <v>7</v>
      </c>
      <c r="D382">
        <v>7985</v>
      </c>
      <c r="E382">
        <v>0</v>
      </c>
      <c r="F382">
        <v>0</v>
      </c>
    </row>
    <row r="383" spans="1:6" x14ac:dyDescent="0.2">
      <c r="A383">
        <v>20200724</v>
      </c>
      <c r="C383" t="s">
        <v>9</v>
      </c>
      <c r="D383">
        <v>8154</v>
      </c>
      <c r="E383">
        <v>0</v>
      </c>
      <c r="F383">
        <v>0</v>
      </c>
    </row>
    <row r="384" spans="1:6" x14ac:dyDescent="0.2">
      <c r="A384">
        <v>20200725</v>
      </c>
      <c r="B384" t="s">
        <v>50</v>
      </c>
      <c r="C384" t="s">
        <v>9</v>
      </c>
      <c r="D384">
        <v>10</v>
      </c>
      <c r="E384">
        <v>8</v>
      </c>
      <c r="F384">
        <v>5</v>
      </c>
    </row>
    <row r="385" spans="1:6" x14ac:dyDescent="0.2">
      <c r="A385">
        <v>20200725</v>
      </c>
      <c r="B385" t="s">
        <v>71</v>
      </c>
      <c r="C385" t="s">
        <v>9</v>
      </c>
      <c r="D385">
        <v>67</v>
      </c>
      <c r="E385">
        <v>67</v>
      </c>
      <c r="F385">
        <v>49</v>
      </c>
    </row>
    <row r="386" spans="1:6" x14ac:dyDescent="0.2">
      <c r="A386">
        <v>20200725</v>
      </c>
      <c r="B386" t="s">
        <v>132</v>
      </c>
      <c r="C386" t="s">
        <v>9</v>
      </c>
      <c r="D386">
        <v>10</v>
      </c>
      <c r="E386">
        <v>6</v>
      </c>
      <c r="F386">
        <v>3</v>
      </c>
    </row>
    <row r="387" spans="1:6" x14ac:dyDescent="0.2">
      <c r="A387">
        <v>20200725</v>
      </c>
      <c r="B387" t="s">
        <v>94</v>
      </c>
      <c r="C387" t="s">
        <v>9</v>
      </c>
      <c r="D387">
        <v>78</v>
      </c>
      <c r="E387">
        <v>78</v>
      </c>
      <c r="F387">
        <v>51</v>
      </c>
    </row>
    <row r="388" spans="1:6" x14ac:dyDescent="0.2">
      <c r="A388">
        <v>20200725</v>
      </c>
      <c r="B388" t="s">
        <v>45</v>
      </c>
      <c r="C388" t="s">
        <v>9</v>
      </c>
      <c r="D388">
        <v>1</v>
      </c>
      <c r="E388">
        <v>1</v>
      </c>
      <c r="F388">
        <v>1</v>
      </c>
    </row>
    <row r="389" spans="1:6" x14ac:dyDescent="0.2">
      <c r="A389">
        <v>20200725</v>
      </c>
      <c r="B389" t="s">
        <v>31</v>
      </c>
      <c r="C389" t="s">
        <v>9</v>
      </c>
      <c r="D389">
        <v>101</v>
      </c>
      <c r="E389">
        <v>78</v>
      </c>
      <c r="F389">
        <v>21</v>
      </c>
    </row>
    <row r="390" spans="1:6" x14ac:dyDescent="0.2">
      <c r="A390">
        <v>20200725</v>
      </c>
      <c r="B390" t="s">
        <v>155</v>
      </c>
      <c r="C390" t="s">
        <v>9</v>
      </c>
      <c r="D390">
        <v>1</v>
      </c>
      <c r="E390">
        <v>1</v>
      </c>
      <c r="F390">
        <v>1</v>
      </c>
    </row>
    <row r="391" spans="1:6" x14ac:dyDescent="0.2">
      <c r="A391">
        <v>20200725</v>
      </c>
      <c r="B391" t="s">
        <v>152</v>
      </c>
      <c r="C391" t="s">
        <v>9</v>
      </c>
      <c r="D391">
        <v>7</v>
      </c>
      <c r="E391">
        <v>7</v>
      </c>
      <c r="F391">
        <v>4</v>
      </c>
    </row>
    <row r="392" spans="1:6" x14ac:dyDescent="0.2">
      <c r="A392">
        <v>20200725</v>
      </c>
      <c r="B392" t="s">
        <v>11</v>
      </c>
      <c r="C392" t="s">
        <v>7</v>
      </c>
      <c r="D392">
        <v>11797</v>
      </c>
      <c r="E392">
        <v>3</v>
      </c>
      <c r="F392">
        <v>0</v>
      </c>
    </row>
    <row r="393" spans="1:6" x14ac:dyDescent="0.2">
      <c r="A393">
        <v>20200725</v>
      </c>
      <c r="B393" t="s">
        <v>11</v>
      </c>
      <c r="C393" t="s">
        <v>9</v>
      </c>
      <c r="D393">
        <v>11442</v>
      </c>
      <c r="E393">
        <v>1</v>
      </c>
      <c r="F393">
        <v>0</v>
      </c>
    </row>
    <row r="394" spans="1:6" x14ac:dyDescent="0.2">
      <c r="A394">
        <v>20200725</v>
      </c>
      <c r="B394" t="s">
        <v>16</v>
      </c>
      <c r="C394" t="s">
        <v>7</v>
      </c>
      <c r="D394">
        <v>2408</v>
      </c>
      <c r="E394">
        <v>2408</v>
      </c>
      <c r="F394">
        <v>1613</v>
      </c>
    </row>
    <row r="395" spans="1:6" x14ac:dyDescent="0.2">
      <c r="A395">
        <v>20200725</v>
      </c>
      <c r="B395" t="s">
        <v>16</v>
      </c>
      <c r="C395" t="s">
        <v>9</v>
      </c>
      <c r="D395">
        <v>1465</v>
      </c>
      <c r="E395">
        <v>1465</v>
      </c>
      <c r="F395">
        <v>973</v>
      </c>
    </row>
    <row r="396" spans="1:6" x14ac:dyDescent="0.2">
      <c r="A396">
        <v>20200725</v>
      </c>
      <c r="B396" t="s">
        <v>18</v>
      </c>
      <c r="C396" t="s">
        <v>7</v>
      </c>
      <c r="D396">
        <v>110</v>
      </c>
      <c r="E396">
        <v>33</v>
      </c>
      <c r="F396">
        <v>18</v>
      </c>
    </row>
    <row r="397" spans="1:6" x14ac:dyDescent="0.2">
      <c r="A397">
        <v>20200725</v>
      </c>
      <c r="B397" t="s">
        <v>18</v>
      </c>
      <c r="C397" t="s">
        <v>9</v>
      </c>
      <c r="D397">
        <v>110</v>
      </c>
      <c r="E397">
        <v>43</v>
      </c>
      <c r="F397">
        <v>34</v>
      </c>
    </row>
    <row r="398" spans="1:6" x14ac:dyDescent="0.2">
      <c r="A398">
        <v>20200725</v>
      </c>
      <c r="B398" t="s">
        <v>6</v>
      </c>
      <c r="C398" t="s">
        <v>7</v>
      </c>
      <c r="D398">
        <v>3043</v>
      </c>
      <c r="E398">
        <v>1659</v>
      </c>
      <c r="F398">
        <v>1278</v>
      </c>
    </row>
    <row r="399" spans="1:6" x14ac:dyDescent="0.2">
      <c r="A399">
        <v>20200725</v>
      </c>
      <c r="B399" t="s">
        <v>6</v>
      </c>
      <c r="C399" t="s">
        <v>9</v>
      </c>
      <c r="D399">
        <v>15825</v>
      </c>
      <c r="E399">
        <v>8605</v>
      </c>
      <c r="F399">
        <v>6972</v>
      </c>
    </row>
    <row r="400" spans="1:6" x14ac:dyDescent="0.2">
      <c r="A400">
        <v>20200725</v>
      </c>
      <c r="B400" t="s">
        <v>41</v>
      </c>
      <c r="C400" t="s">
        <v>7</v>
      </c>
      <c r="D400">
        <v>6145</v>
      </c>
      <c r="E400">
        <v>3625</v>
      </c>
      <c r="F400">
        <v>1716</v>
      </c>
    </row>
    <row r="401" spans="1:6" x14ac:dyDescent="0.2">
      <c r="A401">
        <v>20200725</v>
      </c>
      <c r="B401" t="s">
        <v>41</v>
      </c>
      <c r="C401" t="s">
        <v>9</v>
      </c>
      <c r="D401">
        <v>6173</v>
      </c>
      <c r="E401">
        <v>3770</v>
      </c>
      <c r="F401">
        <v>1796</v>
      </c>
    </row>
    <row r="402" spans="1:6" x14ac:dyDescent="0.2">
      <c r="A402">
        <v>20200725</v>
      </c>
      <c r="B402" t="s">
        <v>51</v>
      </c>
      <c r="C402" t="s">
        <v>9</v>
      </c>
      <c r="D402">
        <v>35</v>
      </c>
      <c r="E402">
        <v>35</v>
      </c>
      <c r="F402">
        <v>12</v>
      </c>
    </row>
    <row r="403" spans="1:6" x14ac:dyDescent="0.2">
      <c r="A403">
        <v>20200725</v>
      </c>
      <c r="B403" t="s">
        <v>19</v>
      </c>
      <c r="C403" t="s">
        <v>7</v>
      </c>
      <c r="D403">
        <v>21</v>
      </c>
      <c r="E403">
        <v>17</v>
      </c>
      <c r="F403">
        <v>10</v>
      </c>
    </row>
    <row r="404" spans="1:6" x14ac:dyDescent="0.2">
      <c r="A404">
        <v>20200725</v>
      </c>
      <c r="B404" t="s">
        <v>19</v>
      </c>
      <c r="C404" t="s">
        <v>9</v>
      </c>
      <c r="D404">
        <v>9</v>
      </c>
      <c r="E404">
        <v>8</v>
      </c>
      <c r="F404">
        <v>5</v>
      </c>
    </row>
    <row r="405" spans="1:6" x14ac:dyDescent="0.2">
      <c r="A405">
        <v>20200725</v>
      </c>
      <c r="B405" t="s">
        <v>35</v>
      </c>
      <c r="C405" t="s">
        <v>7</v>
      </c>
      <c r="D405">
        <v>5</v>
      </c>
      <c r="E405">
        <v>5</v>
      </c>
      <c r="F405">
        <v>2</v>
      </c>
    </row>
    <row r="406" spans="1:6" x14ac:dyDescent="0.2">
      <c r="A406">
        <v>20200725</v>
      </c>
      <c r="B406" t="s">
        <v>35</v>
      </c>
      <c r="C406" t="s">
        <v>9</v>
      </c>
      <c r="D406">
        <v>433</v>
      </c>
      <c r="E406">
        <v>433</v>
      </c>
      <c r="F406">
        <v>207</v>
      </c>
    </row>
    <row r="407" spans="1:6" x14ac:dyDescent="0.2">
      <c r="A407">
        <v>20200725</v>
      </c>
      <c r="B407" t="s">
        <v>73</v>
      </c>
      <c r="C407" t="s">
        <v>9</v>
      </c>
      <c r="D407">
        <v>221</v>
      </c>
      <c r="E407">
        <v>221</v>
      </c>
      <c r="F407">
        <v>85</v>
      </c>
    </row>
    <row r="408" spans="1:6" x14ac:dyDescent="0.2">
      <c r="A408">
        <v>20200725</v>
      </c>
      <c r="B408" t="s">
        <v>20</v>
      </c>
      <c r="C408" t="s">
        <v>7</v>
      </c>
      <c r="D408">
        <v>560</v>
      </c>
      <c r="E408">
        <v>283</v>
      </c>
      <c r="F408">
        <v>158</v>
      </c>
    </row>
    <row r="409" spans="1:6" x14ac:dyDescent="0.2">
      <c r="A409">
        <v>20200725</v>
      </c>
      <c r="B409" t="s">
        <v>20</v>
      </c>
      <c r="C409" t="s">
        <v>9</v>
      </c>
      <c r="D409">
        <v>675</v>
      </c>
      <c r="E409">
        <v>354</v>
      </c>
      <c r="F409">
        <v>167</v>
      </c>
    </row>
    <row r="410" spans="1:6" x14ac:dyDescent="0.2">
      <c r="A410">
        <v>20200725</v>
      </c>
      <c r="B410" t="s">
        <v>21</v>
      </c>
      <c r="C410" t="s">
        <v>7</v>
      </c>
      <c r="D410">
        <v>80</v>
      </c>
      <c r="E410">
        <v>49</v>
      </c>
      <c r="F410">
        <v>18</v>
      </c>
    </row>
    <row r="411" spans="1:6" x14ac:dyDescent="0.2">
      <c r="A411">
        <v>20200725</v>
      </c>
      <c r="B411" t="s">
        <v>21</v>
      </c>
      <c r="C411" t="s">
        <v>9</v>
      </c>
      <c r="D411">
        <v>182</v>
      </c>
      <c r="E411">
        <v>103</v>
      </c>
      <c r="F411">
        <v>42</v>
      </c>
    </row>
    <row r="412" spans="1:6" x14ac:dyDescent="0.2">
      <c r="A412">
        <v>20200725</v>
      </c>
      <c r="B412" t="s">
        <v>56</v>
      </c>
      <c r="C412" t="s">
        <v>9</v>
      </c>
      <c r="D412">
        <v>16</v>
      </c>
      <c r="E412">
        <v>16</v>
      </c>
      <c r="F412">
        <v>8</v>
      </c>
    </row>
    <row r="413" spans="1:6" x14ac:dyDescent="0.2">
      <c r="A413">
        <v>20200725</v>
      </c>
      <c r="B413" t="s">
        <v>52</v>
      </c>
      <c r="C413" t="s">
        <v>7</v>
      </c>
      <c r="D413">
        <v>520</v>
      </c>
      <c r="E413">
        <v>0</v>
      </c>
      <c r="F413">
        <v>0</v>
      </c>
    </row>
    <row r="414" spans="1:6" x14ac:dyDescent="0.2">
      <c r="A414">
        <v>20200725</v>
      </c>
      <c r="B414" t="s">
        <v>52</v>
      </c>
      <c r="C414" t="s">
        <v>9</v>
      </c>
      <c r="D414">
        <v>472</v>
      </c>
      <c r="E414">
        <v>0</v>
      </c>
      <c r="F414">
        <v>0</v>
      </c>
    </row>
    <row r="415" spans="1:6" x14ac:dyDescent="0.2">
      <c r="A415">
        <v>20200725</v>
      </c>
      <c r="B415" t="s">
        <v>160</v>
      </c>
      <c r="C415" t="s">
        <v>9</v>
      </c>
      <c r="D415">
        <v>510</v>
      </c>
      <c r="E415">
        <v>414</v>
      </c>
      <c r="F415">
        <v>141</v>
      </c>
    </row>
    <row r="416" spans="1:6" x14ac:dyDescent="0.2">
      <c r="A416">
        <v>20200725</v>
      </c>
      <c r="B416" t="s">
        <v>57</v>
      </c>
      <c r="C416" t="s">
        <v>7</v>
      </c>
      <c r="D416">
        <v>2220</v>
      </c>
      <c r="E416">
        <v>1895</v>
      </c>
      <c r="F416">
        <v>1098</v>
      </c>
    </row>
    <row r="417" spans="1:6" x14ac:dyDescent="0.2">
      <c r="A417">
        <v>20200725</v>
      </c>
      <c r="B417" t="s">
        <v>57</v>
      </c>
      <c r="C417" t="s">
        <v>9</v>
      </c>
      <c r="D417">
        <v>743</v>
      </c>
      <c r="E417">
        <v>645</v>
      </c>
      <c r="F417">
        <v>381</v>
      </c>
    </row>
    <row r="418" spans="1:6" x14ac:dyDescent="0.2">
      <c r="A418">
        <v>20200725</v>
      </c>
      <c r="B418" t="s">
        <v>17</v>
      </c>
      <c r="C418" t="s">
        <v>9</v>
      </c>
      <c r="D418">
        <v>3</v>
      </c>
      <c r="E418">
        <v>1</v>
      </c>
      <c r="F418">
        <v>1</v>
      </c>
    </row>
    <row r="419" spans="1:6" x14ac:dyDescent="0.2">
      <c r="A419">
        <v>20200725</v>
      </c>
      <c r="B419" t="s">
        <v>72</v>
      </c>
      <c r="C419" t="s">
        <v>7</v>
      </c>
      <c r="D419">
        <v>293</v>
      </c>
      <c r="E419">
        <v>293</v>
      </c>
      <c r="F419">
        <v>183</v>
      </c>
    </row>
    <row r="420" spans="1:6" x14ac:dyDescent="0.2">
      <c r="A420">
        <v>20200725</v>
      </c>
      <c r="B420" t="s">
        <v>72</v>
      </c>
      <c r="C420" t="s">
        <v>9</v>
      </c>
      <c r="D420">
        <v>590</v>
      </c>
      <c r="E420">
        <v>590</v>
      </c>
      <c r="F420">
        <v>437</v>
      </c>
    </row>
    <row r="421" spans="1:6" x14ac:dyDescent="0.2">
      <c r="A421">
        <v>20200725</v>
      </c>
      <c r="B421" t="s">
        <v>28</v>
      </c>
      <c r="C421" t="s">
        <v>9</v>
      </c>
      <c r="D421">
        <v>101</v>
      </c>
      <c r="E421">
        <v>101</v>
      </c>
      <c r="F421">
        <v>66</v>
      </c>
    </row>
    <row r="422" spans="1:6" x14ac:dyDescent="0.2">
      <c r="A422">
        <v>20200725</v>
      </c>
      <c r="B422" t="s">
        <v>66</v>
      </c>
      <c r="C422" t="s">
        <v>7</v>
      </c>
      <c r="D422">
        <v>23</v>
      </c>
      <c r="E422">
        <v>15</v>
      </c>
      <c r="F422">
        <v>8</v>
      </c>
    </row>
    <row r="423" spans="1:6" x14ac:dyDescent="0.2">
      <c r="A423">
        <v>20200725</v>
      </c>
      <c r="B423" t="s">
        <v>66</v>
      </c>
      <c r="C423" t="s">
        <v>9</v>
      </c>
      <c r="D423">
        <v>6</v>
      </c>
      <c r="E423">
        <v>4</v>
      </c>
      <c r="F423">
        <v>1</v>
      </c>
    </row>
    <row r="424" spans="1:6" x14ac:dyDescent="0.2">
      <c r="A424">
        <v>20200725</v>
      </c>
      <c r="B424" t="s">
        <v>153</v>
      </c>
      <c r="C424" t="s">
        <v>9</v>
      </c>
      <c r="D424">
        <v>22</v>
      </c>
      <c r="E424">
        <v>11</v>
      </c>
      <c r="F424">
        <v>9</v>
      </c>
    </row>
    <row r="425" spans="1:6" x14ac:dyDescent="0.2">
      <c r="A425">
        <v>20200725</v>
      </c>
      <c r="B425" t="s">
        <v>76</v>
      </c>
      <c r="C425" t="s">
        <v>7</v>
      </c>
      <c r="D425">
        <v>1369</v>
      </c>
      <c r="E425">
        <v>1369</v>
      </c>
      <c r="F425">
        <v>1019</v>
      </c>
    </row>
    <row r="426" spans="1:6" x14ac:dyDescent="0.2">
      <c r="A426">
        <v>20200725</v>
      </c>
      <c r="B426" t="s">
        <v>76</v>
      </c>
      <c r="C426" t="s">
        <v>9</v>
      </c>
      <c r="D426">
        <v>613</v>
      </c>
      <c r="E426">
        <v>613</v>
      </c>
      <c r="F426">
        <v>491</v>
      </c>
    </row>
    <row r="427" spans="1:6" x14ac:dyDescent="0.2">
      <c r="A427">
        <v>20200725</v>
      </c>
      <c r="B427" t="s">
        <v>62</v>
      </c>
      <c r="C427" t="s">
        <v>9</v>
      </c>
      <c r="D427">
        <v>29</v>
      </c>
      <c r="E427">
        <v>18</v>
      </c>
      <c r="F427">
        <v>9</v>
      </c>
    </row>
    <row r="428" spans="1:6" x14ac:dyDescent="0.2">
      <c r="A428">
        <v>20200725</v>
      </c>
      <c r="B428" t="s">
        <v>77</v>
      </c>
      <c r="C428" t="s">
        <v>7</v>
      </c>
      <c r="D428">
        <v>156</v>
      </c>
      <c r="E428">
        <v>115</v>
      </c>
      <c r="F428">
        <v>61</v>
      </c>
    </row>
    <row r="429" spans="1:6" x14ac:dyDescent="0.2">
      <c r="A429">
        <v>20200725</v>
      </c>
      <c r="B429" t="s">
        <v>77</v>
      </c>
      <c r="C429" t="s">
        <v>9</v>
      </c>
      <c r="D429">
        <v>457</v>
      </c>
      <c r="E429">
        <v>329</v>
      </c>
      <c r="F429">
        <v>181</v>
      </c>
    </row>
    <row r="430" spans="1:6" x14ac:dyDescent="0.2">
      <c r="A430">
        <v>20200725</v>
      </c>
      <c r="B430" t="s">
        <v>12</v>
      </c>
      <c r="C430" t="s">
        <v>7</v>
      </c>
      <c r="D430">
        <v>156</v>
      </c>
      <c r="E430">
        <v>156</v>
      </c>
      <c r="F430">
        <v>117</v>
      </c>
    </row>
    <row r="431" spans="1:6" x14ac:dyDescent="0.2">
      <c r="A431">
        <v>20200725</v>
      </c>
      <c r="B431" t="s">
        <v>12</v>
      </c>
      <c r="C431" t="s">
        <v>9</v>
      </c>
      <c r="D431">
        <v>156</v>
      </c>
      <c r="E431">
        <v>156</v>
      </c>
      <c r="F431">
        <v>126</v>
      </c>
    </row>
    <row r="432" spans="1:6" x14ac:dyDescent="0.2">
      <c r="A432">
        <v>20200725</v>
      </c>
      <c r="B432" t="s">
        <v>53</v>
      </c>
      <c r="C432" t="s">
        <v>9</v>
      </c>
      <c r="D432">
        <v>116</v>
      </c>
      <c r="E432">
        <v>116</v>
      </c>
      <c r="F432">
        <v>87</v>
      </c>
    </row>
    <row r="433" spans="1:6" x14ac:dyDescent="0.2">
      <c r="A433">
        <v>20200725</v>
      </c>
      <c r="B433" t="s">
        <v>95</v>
      </c>
      <c r="C433" t="s">
        <v>7</v>
      </c>
      <c r="D433">
        <v>889</v>
      </c>
      <c r="E433">
        <v>889</v>
      </c>
      <c r="F433">
        <v>479</v>
      </c>
    </row>
    <row r="434" spans="1:6" x14ac:dyDescent="0.2">
      <c r="A434">
        <v>20200725</v>
      </c>
      <c r="B434" t="s">
        <v>95</v>
      </c>
      <c r="C434" t="s">
        <v>9</v>
      </c>
      <c r="D434">
        <v>372</v>
      </c>
      <c r="E434">
        <v>372</v>
      </c>
      <c r="F434">
        <v>201</v>
      </c>
    </row>
    <row r="435" spans="1:6" x14ac:dyDescent="0.2">
      <c r="A435">
        <v>20200725</v>
      </c>
      <c r="B435" t="s">
        <v>102</v>
      </c>
      <c r="C435" t="s">
        <v>9</v>
      </c>
      <c r="D435">
        <v>672</v>
      </c>
      <c r="E435">
        <v>672</v>
      </c>
      <c r="F435">
        <v>286</v>
      </c>
    </row>
    <row r="436" spans="1:6" x14ac:dyDescent="0.2">
      <c r="A436">
        <v>20200725</v>
      </c>
      <c r="B436" t="s">
        <v>162</v>
      </c>
      <c r="C436" t="s">
        <v>9</v>
      </c>
      <c r="D436">
        <v>382</v>
      </c>
      <c r="E436">
        <v>382</v>
      </c>
      <c r="F436">
        <v>274</v>
      </c>
    </row>
    <row r="437" spans="1:6" x14ac:dyDescent="0.2">
      <c r="A437">
        <v>20200725</v>
      </c>
      <c r="B437" t="s">
        <v>13</v>
      </c>
      <c r="C437" t="s">
        <v>7</v>
      </c>
      <c r="D437">
        <v>1969</v>
      </c>
      <c r="E437">
        <v>1969</v>
      </c>
      <c r="F437">
        <v>1400</v>
      </c>
    </row>
    <row r="438" spans="1:6" x14ac:dyDescent="0.2">
      <c r="A438">
        <v>20200725</v>
      </c>
      <c r="B438" t="s">
        <v>13</v>
      </c>
      <c r="C438" t="s">
        <v>9</v>
      </c>
      <c r="D438">
        <v>2274</v>
      </c>
      <c r="E438">
        <v>2274</v>
      </c>
      <c r="F438">
        <v>1694</v>
      </c>
    </row>
    <row r="439" spans="1:6" x14ac:dyDescent="0.2">
      <c r="A439">
        <v>20200725</v>
      </c>
      <c r="B439" t="s">
        <v>122</v>
      </c>
      <c r="C439" t="s">
        <v>9</v>
      </c>
      <c r="D439">
        <v>554</v>
      </c>
      <c r="E439">
        <v>554</v>
      </c>
      <c r="F439">
        <v>419</v>
      </c>
    </row>
    <row r="440" spans="1:6" x14ac:dyDescent="0.2">
      <c r="A440">
        <v>20200725</v>
      </c>
      <c r="B440" t="s">
        <v>139</v>
      </c>
      <c r="C440" t="s">
        <v>7</v>
      </c>
      <c r="D440">
        <v>568</v>
      </c>
      <c r="E440">
        <v>15</v>
      </c>
      <c r="F440">
        <v>7</v>
      </c>
    </row>
    <row r="441" spans="1:6" x14ac:dyDescent="0.2">
      <c r="A441">
        <v>20200725</v>
      </c>
      <c r="B441" t="s">
        <v>139</v>
      </c>
      <c r="C441" t="s">
        <v>9</v>
      </c>
      <c r="D441">
        <v>568</v>
      </c>
      <c r="E441">
        <v>20</v>
      </c>
      <c r="F441">
        <v>12</v>
      </c>
    </row>
    <row r="442" spans="1:6" x14ac:dyDescent="0.2">
      <c r="A442">
        <v>20200725</v>
      </c>
      <c r="B442" t="s">
        <v>100</v>
      </c>
      <c r="C442" t="s">
        <v>7</v>
      </c>
      <c r="D442">
        <v>605</v>
      </c>
      <c r="E442">
        <v>605</v>
      </c>
      <c r="F442">
        <v>344</v>
      </c>
    </row>
    <row r="443" spans="1:6" x14ac:dyDescent="0.2">
      <c r="A443">
        <v>20200725</v>
      </c>
      <c r="B443" t="s">
        <v>100</v>
      </c>
      <c r="C443" t="s">
        <v>9</v>
      </c>
      <c r="D443">
        <v>1109</v>
      </c>
      <c r="E443">
        <v>1109</v>
      </c>
      <c r="F443">
        <v>633</v>
      </c>
    </row>
    <row r="444" spans="1:6" x14ac:dyDescent="0.2">
      <c r="A444">
        <v>20200725</v>
      </c>
      <c r="B444" t="s">
        <v>140</v>
      </c>
      <c r="C444" t="s">
        <v>7</v>
      </c>
      <c r="D444">
        <v>2115</v>
      </c>
      <c r="E444">
        <v>113</v>
      </c>
      <c r="F444">
        <v>33</v>
      </c>
    </row>
    <row r="445" spans="1:6" x14ac:dyDescent="0.2">
      <c r="A445">
        <v>20200725</v>
      </c>
      <c r="B445" t="s">
        <v>140</v>
      </c>
      <c r="C445" t="s">
        <v>9</v>
      </c>
      <c r="D445">
        <v>2047</v>
      </c>
      <c r="E445">
        <v>68</v>
      </c>
      <c r="F445">
        <v>30</v>
      </c>
    </row>
    <row r="446" spans="1:6" x14ac:dyDescent="0.2">
      <c r="A446">
        <v>20200725</v>
      </c>
      <c r="B446" t="s">
        <v>80</v>
      </c>
      <c r="C446" t="s">
        <v>7</v>
      </c>
      <c r="D446">
        <v>29</v>
      </c>
      <c r="E446">
        <v>29</v>
      </c>
      <c r="F446">
        <v>26</v>
      </c>
    </row>
    <row r="447" spans="1:6" x14ac:dyDescent="0.2">
      <c r="A447">
        <v>20200725</v>
      </c>
      <c r="B447" t="s">
        <v>80</v>
      </c>
      <c r="C447" t="s">
        <v>9</v>
      </c>
      <c r="D447">
        <v>435</v>
      </c>
      <c r="E447">
        <v>435</v>
      </c>
      <c r="F447">
        <v>347</v>
      </c>
    </row>
    <row r="448" spans="1:6" x14ac:dyDescent="0.2">
      <c r="A448">
        <v>20200725</v>
      </c>
      <c r="B448" t="s">
        <v>54</v>
      </c>
      <c r="C448" t="s">
        <v>9</v>
      </c>
      <c r="D448">
        <v>45</v>
      </c>
      <c r="E448">
        <v>33</v>
      </c>
      <c r="F448">
        <v>21</v>
      </c>
    </row>
    <row r="449" spans="1:6" x14ac:dyDescent="0.2">
      <c r="A449">
        <v>20200725</v>
      </c>
      <c r="B449" t="s">
        <v>134</v>
      </c>
      <c r="C449" t="s">
        <v>9</v>
      </c>
      <c r="D449">
        <v>460</v>
      </c>
      <c r="E449">
        <v>342</v>
      </c>
      <c r="F449">
        <v>171</v>
      </c>
    </row>
    <row r="450" spans="1:6" x14ac:dyDescent="0.2">
      <c r="A450">
        <v>20200725</v>
      </c>
      <c r="B450" t="s">
        <v>92</v>
      </c>
      <c r="C450" t="s">
        <v>9</v>
      </c>
      <c r="D450">
        <v>502</v>
      </c>
      <c r="E450">
        <v>353</v>
      </c>
      <c r="F450">
        <v>148</v>
      </c>
    </row>
    <row r="451" spans="1:6" x14ac:dyDescent="0.2">
      <c r="A451">
        <v>20200725</v>
      </c>
      <c r="B451" t="s">
        <v>75</v>
      </c>
      <c r="C451" t="s">
        <v>9</v>
      </c>
      <c r="D451">
        <v>67</v>
      </c>
      <c r="E451">
        <v>67</v>
      </c>
      <c r="F451">
        <v>52</v>
      </c>
    </row>
    <row r="452" spans="1:6" x14ac:dyDescent="0.2">
      <c r="A452">
        <v>20200725</v>
      </c>
      <c r="B452" t="s">
        <v>103</v>
      </c>
      <c r="C452" t="s">
        <v>9</v>
      </c>
      <c r="D452">
        <v>54</v>
      </c>
      <c r="E452">
        <v>54</v>
      </c>
      <c r="F452">
        <v>41</v>
      </c>
    </row>
    <row r="453" spans="1:6" x14ac:dyDescent="0.2">
      <c r="A453">
        <v>20200725</v>
      </c>
      <c r="B453" t="s">
        <v>172</v>
      </c>
      <c r="C453" t="s">
        <v>9</v>
      </c>
      <c r="D453">
        <v>79</v>
      </c>
      <c r="E453">
        <v>79</v>
      </c>
      <c r="F453">
        <v>60</v>
      </c>
    </row>
    <row r="454" spans="1:6" x14ac:dyDescent="0.2">
      <c r="A454">
        <v>20200725</v>
      </c>
      <c r="B454" t="s">
        <v>141</v>
      </c>
      <c r="C454" t="s">
        <v>9</v>
      </c>
      <c r="D454">
        <v>80</v>
      </c>
      <c r="E454">
        <v>59</v>
      </c>
      <c r="F454">
        <v>36</v>
      </c>
    </row>
    <row r="455" spans="1:6" x14ac:dyDescent="0.2">
      <c r="A455">
        <v>20200725</v>
      </c>
      <c r="B455" t="s">
        <v>114</v>
      </c>
      <c r="C455" t="s">
        <v>9</v>
      </c>
      <c r="D455">
        <v>2</v>
      </c>
      <c r="E455">
        <v>2</v>
      </c>
      <c r="F455">
        <v>1</v>
      </c>
    </row>
    <row r="456" spans="1:6" x14ac:dyDescent="0.2">
      <c r="A456">
        <v>20200725</v>
      </c>
      <c r="B456" t="s">
        <v>78</v>
      </c>
      <c r="C456" t="s">
        <v>7</v>
      </c>
      <c r="D456">
        <v>912</v>
      </c>
      <c r="E456">
        <v>912</v>
      </c>
      <c r="F456">
        <v>475</v>
      </c>
    </row>
    <row r="457" spans="1:6" x14ac:dyDescent="0.2">
      <c r="A457">
        <v>20200725</v>
      </c>
      <c r="B457" t="s">
        <v>78</v>
      </c>
      <c r="C457" t="s">
        <v>9</v>
      </c>
      <c r="D457">
        <v>90</v>
      </c>
      <c r="E457">
        <v>90</v>
      </c>
      <c r="F457">
        <v>39</v>
      </c>
    </row>
    <row r="458" spans="1:6" x14ac:dyDescent="0.2">
      <c r="A458">
        <v>20200725</v>
      </c>
      <c r="B458" t="s">
        <v>83</v>
      </c>
      <c r="C458" t="s">
        <v>7</v>
      </c>
      <c r="D458">
        <v>152</v>
      </c>
      <c r="E458">
        <v>152</v>
      </c>
      <c r="F458">
        <v>83</v>
      </c>
    </row>
    <row r="459" spans="1:6" x14ac:dyDescent="0.2">
      <c r="A459">
        <v>20200725</v>
      </c>
      <c r="B459" t="s">
        <v>83</v>
      </c>
      <c r="C459" t="s">
        <v>9</v>
      </c>
      <c r="D459">
        <v>276</v>
      </c>
      <c r="E459">
        <v>276</v>
      </c>
      <c r="F459">
        <v>168</v>
      </c>
    </row>
    <row r="460" spans="1:6" x14ac:dyDescent="0.2">
      <c r="A460">
        <v>20200725</v>
      </c>
      <c r="B460" t="s">
        <v>104</v>
      </c>
      <c r="C460" t="s">
        <v>7</v>
      </c>
      <c r="D460">
        <v>144</v>
      </c>
      <c r="E460">
        <v>144</v>
      </c>
      <c r="F460">
        <v>78</v>
      </c>
    </row>
    <row r="461" spans="1:6" x14ac:dyDescent="0.2">
      <c r="A461">
        <v>20200725</v>
      </c>
      <c r="B461" t="s">
        <v>104</v>
      </c>
      <c r="C461" t="s">
        <v>9</v>
      </c>
      <c r="D461">
        <v>1238</v>
      </c>
      <c r="E461">
        <v>1238</v>
      </c>
      <c r="F461">
        <v>706</v>
      </c>
    </row>
    <row r="462" spans="1:6" x14ac:dyDescent="0.2">
      <c r="A462">
        <v>20200725</v>
      </c>
      <c r="B462" t="s">
        <v>125</v>
      </c>
      <c r="C462" t="s">
        <v>9</v>
      </c>
      <c r="D462">
        <v>127</v>
      </c>
      <c r="E462">
        <v>127</v>
      </c>
      <c r="F462">
        <v>90</v>
      </c>
    </row>
    <row r="463" spans="1:6" x14ac:dyDescent="0.2">
      <c r="A463">
        <v>20200725</v>
      </c>
      <c r="B463" t="s">
        <v>14</v>
      </c>
      <c r="C463" t="s">
        <v>9</v>
      </c>
      <c r="D463">
        <v>308</v>
      </c>
      <c r="E463">
        <v>308</v>
      </c>
      <c r="F463">
        <v>236</v>
      </c>
    </row>
    <row r="464" spans="1:6" x14ac:dyDescent="0.2">
      <c r="A464">
        <v>20200725</v>
      </c>
      <c r="B464" t="s">
        <v>146</v>
      </c>
      <c r="C464" t="s">
        <v>7</v>
      </c>
      <c r="D464">
        <v>1</v>
      </c>
      <c r="E464">
        <v>0</v>
      </c>
      <c r="F464">
        <v>0</v>
      </c>
    </row>
    <row r="465" spans="1:6" x14ac:dyDescent="0.2">
      <c r="A465">
        <v>20200725</v>
      </c>
      <c r="B465" t="s">
        <v>146</v>
      </c>
      <c r="C465" t="s">
        <v>9</v>
      </c>
      <c r="D465">
        <v>443</v>
      </c>
      <c r="E465">
        <v>313</v>
      </c>
      <c r="F465">
        <v>178</v>
      </c>
    </row>
    <row r="466" spans="1:6" x14ac:dyDescent="0.2">
      <c r="A466">
        <v>20200725</v>
      </c>
      <c r="B466" t="s">
        <v>48</v>
      </c>
      <c r="C466" t="s">
        <v>7</v>
      </c>
      <c r="D466">
        <v>1</v>
      </c>
      <c r="E466">
        <v>1</v>
      </c>
      <c r="F466">
        <v>0</v>
      </c>
    </row>
    <row r="467" spans="1:6" x14ac:dyDescent="0.2">
      <c r="A467">
        <v>20200725</v>
      </c>
      <c r="B467" t="s">
        <v>48</v>
      </c>
      <c r="C467" t="s">
        <v>9</v>
      </c>
      <c r="D467">
        <v>1291</v>
      </c>
      <c r="E467">
        <v>1291</v>
      </c>
      <c r="F467">
        <v>851</v>
      </c>
    </row>
    <row r="468" spans="1:6" x14ac:dyDescent="0.2">
      <c r="A468">
        <v>20200725</v>
      </c>
      <c r="B468" t="s">
        <v>115</v>
      </c>
      <c r="C468" t="s">
        <v>9</v>
      </c>
      <c r="D468">
        <v>155</v>
      </c>
      <c r="E468">
        <v>155</v>
      </c>
      <c r="F468">
        <v>104</v>
      </c>
    </row>
    <row r="469" spans="1:6" x14ac:dyDescent="0.2">
      <c r="A469">
        <v>20200725</v>
      </c>
      <c r="B469" t="s">
        <v>93</v>
      </c>
      <c r="C469" t="s">
        <v>7</v>
      </c>
      <c r="D469">
        <v>7536</v>
      </c>
      <c r="E469">
        <v>7536</v>
      </c>
      <c r="F469">
        <v>5817</v>
      </c>
    </row>
    <row r="470" spans="1:6" x14ac:dyDescent="0.2">
      <c r="A470">
        <v>20200725</v>
      </c>
      <c r="B470" t="s">
        <v>93</v>
      </c>
      <c r="C470" t="s">
        <v>9</v>
      </c>
      <c r="D470">
        <v>2314</v>
      </c>
      <c r="E470">
        <v>2314</v>
      </c>
      <c r="F470">
        <v>1823</v>
      </c>
    </row>
    <row r="471" spans="1:6" x14ac:dyDescent="0.2">
      <c r="A471">
        <v>20200725</v>
      </c>
      <c r="B471" t="s">
        <v>163</v>
      </c>
      <c r="C471" t="s">
        <v>7</v>
      </c>
      <c r="D471">
        <v>112</v>
      </c>
      <c r="E471">
        <v>82</v>
      </c>
      <c r="F471">
        <v>27</v>
      </c>
    </row>
    <row r="472" spans="1:6" x14ac:dyDescent="0.2">
      <c r="A472">
        <v>20200725</v>
      </c>
      <c r="B472" t="s">
        <v>163</v>
      </c>
      <c r="C472" t="s">
        <v>9</v>
      </c>
      <c r="D472">
        <v>805</v>
      </c>
      <c r="E472">
        <v>582</v>
      </c>
      <c r="F472">
        <v>242</v>
      </c>
    </row>
    <row r="473" spans="1:6" x14ac:dyDescent="0.2">
      <c r="A473">
        <v>20200725</v>
      </c>
      <c r="B473" t="s">
        <v>30</v>
      </c>
      <c r="C473" t="s">
        <v>9</v>
      </c>
      <c r="D473">
        <v>69</v>
      </c>
      <c r="E473">
        <v>69</v>
      </c>
      <c r="F473">
        <v>51</v>
      </c>
    </row>
    <row r="474" spans="1:6" x14ac:dyDescent="0.2">
      <c r="A474">
        <v>20200725</v>
      </c>
      <c r="B474" t="s">
        <v>22</v>
      </c>
      <c r="C474" t="s">
        <v>7</v>
      </c>
      <c r="D474">
        <v>6446</v>
      </c>
      <c r="E474">
        <v>6446</v>
      </c>
      <c r="F474">
        <v>4884</v>
      </c>
    </row>
    <row r="475" spans="1:6" x14ac:dyDescent="0.2">
      <c r="A475">
        <v>20200725</v>
      </c>
      <c r="B475" t="s">
        <v>22</v>
      </c>
      <c r="C475" t="s">
        <v>9</v>
      </c>
      <c r="D475">
        <v>5887</v>
      </c>
      <c r="E475">
        <v>5887</v>
      </c>
      <c r="F475">
        <v>4515</v>
      </c>
    </row>
    <row r="476" spans="1:6" x14ac:dyDescent="0.2">
      <c r="A476">
        <v>20200725</v>
      </c>
      <c r="B476" t="s">
        <v>15</v>
      </c>
      <c r="C476" t="s">
        <v>9</v>
      </c>
      <c r="D476">
        <v>564</v>
      </c>
      <c r="E476">
        <v>564</v>
      </c>
      <c r="F476">
        <v>400</v>
      </c>
    </row>
    <row r="477" spans="1:6" x14ac:dyDescent="0.2">
      <c r="A477">
        <v>20200725</v>
      </c>
      <c r="B477" t="s">
        <v>55</v>
      </c>
      <c r="C477" t="s">
        <v>9</v>
      </c>
      <c r="D477">
        <v>1290</v>
      </c>
      <c r="E477">
        <v>1290</v>
      </c>
      <c r="F477">
        <v>887</v>
      </c>
    </row>
    <row r="478" spans="1:6" x14ac:dyDescent="0.2">
      <c r="A478">
        <v>20200725</v>
      </c>
      <c r="B478" t="s">
        <v>111</v>
      </c>
      <c r="C478" t="s">
        <v>9</v>
      </c>
      <c r="D478">
        <v>264</v>
      </c>
      <c r="E478">
        <v>264</v>
      </c>
      <c r="F478">
        <v>181</v>
      </c>
    </row>
    <row r="479" spans="1:6" x14ac:dyDescent="0.2">
      <c r="A479">
        <v>20200725</v>
      </c>
      <c r="B479" t="s">
        <v>46</v>
      </c>
      <c r="C479" t="s">
        <v>9</v>
      </c>
      <c r="D479">
        <v>150</v>
      </c>
      <c r="E479">
        <v>150</v>
      </c>
      <c r="F479">
        <v>125</v>
      </c>
    </row>
    <row r="480" spans="1:6" x14ac:dyDescent="0.2">
      <c r="A480">
        <v>20200725</v>
      </c>
      <c r="B480" t="s">
        <v>165</v>
      </c>
      <c r="C480" t="s">
        <v>7</v>
      </c>
      <c r="D480">
        <v>4474</v>
      </c>
      <c r="E480">
        <v>0</v>
      </c>
      <c r="F480">
        <v>0</v>
      </c>
    </row>
    <row r="481" spans="1:6" x14ac:dyDescent="0.2">
      <c r="A481">
        <v>20200725</v>
      </c>
      <c r="B481" t="s">
        <v>165</v>
      </c>
      <c r="C481" t="s">
        <v>9</v>
      </c>
      <c r="D481">
        <v>4480</v>
      </c>
      <c r="E481">
        <v>0</v>
      </c>
      <c r="F481">
        <v>0</v>
      </c>
    </row>
    <row r="482" spans="1:6" x14ac:dyDescent="0.2">
      <c r="A482">
        <v>20200725</v>
      </c>
      <c r="C482" t="s">
        <v>7</v>
      </c>
      <c r="D482">
        <v>11897</v>
      </c>
      <c r="E482">
        <v>0</v>
      </c>
      <c r="F482">
        <v>0</v>
      </c>
    </row>
    <row r="483" spans="1:6" x14ac:dyDescent="0.2">
      <c r="A483">
        <v>20200725</v>
      </c>
      <c r="C483" t="s">
        <v>9</v>
      </c>
      <c r="D483">
        <v>11508</v>
      </c>
      <c r="E483">
        <v>0</v>
      </c>
      <c r="F483">
        <v>0</v>
      </c>
    </row>
    <row r="484" spans="1:6" x14ac:dyDescent="0.2">
      <c r="A484">
        <v>20200726</v>
      </c>
      <c r="B484" t="s">
        <v>82</v>
      </c>
      <c r="C484" t="s">
        <v>7</v>
      </c>
      <c r="D484">
        <v>4136</v>
      </c>
      <c r="E484">
        <v>4136</v>
      </c>
      <c r="F484">
        <v>2084</v>
      </c>
    </row>
    <row r="485" spans="1:6" x14ac:dyDescent="0.2">
      <c r="A485">
        <v>20200726</v>
      </c>
      <c r="B485" t="s">
        <v>82</v>
      </c>
      <c r="C485" t="s">
        <v>9</v>
      </c>
      <c r="D485">
        <v>2610</v>
      </c>
      <c r="E485">
        <v>2610</v>
      </c>
      <c r="F485">
        <v>1521</v>
      </c>
    </row>
    <row r="486" spans="1:6" x14ac:dyDescent="0.2">
      <c r="A486">
        <v>20200726</v>
      </c>
      <c r="B486" t="s">
        <v>94</v>
      </c>
      <c r="C486" t="s">
        <v>9</v>
      </c>
      <c r="D486">
        <v>96</v>
      </c>
      <c r="E486">
        <v>96</v>
      </c>
      <c r="F486">
        <v>67</v>
      </c>
    </row>
    <row r="487" spans="1:6" x14ac:dyDescent="0.2">
      <c r="A487">
        <v>20200726</v>
      </c>
      <c r="B487" t="s">
        <v>45</v>
      </c>
      <c r="C487" t="s">
        <v>7</v>
      </c>
      <c r="D487">
        <v>882</v>
      </c>
      <c r="E487">
        <v>0</v>
      </c>
      <c r="F487">
        <v>0</v>
      </c>
    </row>
    <row r="488" spans="1:6" x14ac:dyDescent="0.2">
      <c r="A488">
        <v>20200726</v>
      </c>
      <c r="B488" t="s">
        <v>45</v>
      </c>
      <c r="C488" t="s">
        <v>9</v>
      </c>
      <c r="D488">
        <v>890</v>
      </c>
      <c r="E488">
        <v>0</v>
      </c>
      <c r="F488">
        <v>0</v>
      </c>
    </row>
    <row r="489" spans="1:6" x14ac:dyDescent="0.2">
      <c r="A489">
        <v>20200726</v>
      </c>
      <c r="B489" t="s">
        <v>101</v>
      </c>
      <c r="C489" t="s">
        <v>7</v>
      </c>
      <c r="D489">
        <v>1</v>
      </c>
      <c r="E489">
        <v>0</v>
      </c>
      <c r="F489">
        <v>0</v>
      </c>
    </row>
    <row r="490" spans="1:6" x14ac:dyDescent="0.2">
      <c r="A490">
        <v>20200726</v>
      </c>
      <c r="B490" t="s">
        <v>133</v>
      </c>
      <c r="C490" t="s">
        <v>9</v>
      </c>
      <c r="D490">
        <v>10</v>
      </c>
      <c r="E490">
        <v>2</v>
      </c>
      <c r="F490">
        <v>0</v>
      </c>
    </row>
    <row r="491" spans="1:6" x14ac:dyDescent="0.2">
      <c r="A491">
        <v>20200726</v>
      </c>
      <c r="B491" t="s">
        <v>11</v>
      </c>
      <c r="C491" t="s">
        <v>7</v>
      </c>
      <c r="D491">
        <v>7727</v>
      </c>
      <c r="E491">
        <v>2</v>
      </c>
      <c r="F491">
        <v>0</v>
      </c>
    </row>
    <row r="492" spans="1:6" x14ac:dyDescent="0.2">
      <c r="A492">
        <v>20200726</v>
      </c>
      <c r="B492" t="s">
        <v>11</v>
      </c>
      <c r="C492" t="s">
        <v>9</v>
      </c>
      <c r="D492">
        <v>7605</v>
      </c>
      <c r="E492">
        <v>2</v>
      </c>
      <c r="F492">
        <v>0</v>
      </c>
    </row>
    <row r="493" spans="1:6" x14ac:dyDescent="0.2">
      <c r="A493">
        <v>20200726</v>
      </c>
      <c r="B493" t="s">
        <v>16</v>
      </c>
      <c r="C493" t="s">
        <v>7</v>
      </c>
      <c r="D493">
        <v>1656</v>
      </c>
      <c r="E493">
        <v>1656</v>
      </c>
      <c r="F493">
        <v>1121</v>
      </c>
    </row>
    <row r="494" spans="1:6" x14ac:dyDescent="0.2">
      <c r="A494">
        <v>20200726</v>
      </c>
      <c r="B494" t="s">
        <v>16</v>
      </c>
      <c r="C494" t="s">
        <v>9</v>
      </c>
      <c r="D494">
        <v>802</v>
      </c>
      <c r="E494">
        <v>802</v>
      </c>
      <c r="F494">
        <v>574</v>
      </c>
    </row>
    <row r="495" spans="1:6" x14ac:dyDescent="0.2">
      <c r="A495">
        <v>20200726</v>
      </c>
      <c r="B495" t="s">
        <v>18</v>
      </c>
      <c r="C495" t="s">
        <v>7</v>
      </c>
      <c r="D495">
        <v>54</v>
      </c>
      <c r="E495">
        <v>46</v>
      </c>
      <c r="F495">
        <v>36</v>
      </c>
    </row>
    <row r="496" spans="1:6" x14ac:dyDescent="0.2">
      <c r="A496">
        <v>20200726</v>
      </c>
      <c r="B496" t="s">
        <v>18</v>
      </c>
      <c r="C496" t="s">
        <v>9</v>
      </c>
      <c r="D496">
        <v>50</v>
      </c>
      <c r="E496">
        <v>33</v>
      </c>
      <c r="F496">
        <v>23</v>
      </c>
    </row>
    <row r="497" spans="1:6" x14ac:dyDescent="0.2">
      <c r="A497">
        <v>20200726</v>
      </c>
      <c r="B497" t="s">
        <v>6</v>
      </c>
      <c r="C497" t="s">
        <v>7</v>
      </c>
      <c r="D497">
        <v>1147</v>
      </c>
      <c r="E497">
        <v>561</v>
      </c>
      <c r="F497">
        <v>375</v>
      </c>
    </row>
    <row r="498" spans="1:6" x14ac:dyDescent="0.2">
      <c r="A498">
        <v>20200726</v>
      </c>
      <c r="B498" t="s">
        <v>6</v>
      </c>
      <c r="C498" t="s">
        <v>9</v>
      </c>
      <c r="D498">
        <v>9985</v>
      </c>
      <c r="E498">
        <v>4386</v>
      </c>
      <c r="F498">
        <v>3150</v>
      </c>
    </row>
    <row r="499" spans="1:6" x14ac:dyDescent="0.2">
      <c r="A499">
        <v>20200726</v>
      </c>
      <c r="B499" t="s">
        <v>41</v>
      </c>
      <c r="C499" t="s">
        <v>7</v>
      </c>
      <c r="D499">
        <v>4715</v>
      </c>
      <c r="E499">
        <v>1674</v>
      </c>
      <c r="F499">
        <v>907</v>
      </c>
    </row>
    <row r="500" spans="1:6" x14ac:dyDescent="0.2">
      <c r="A500">
        <v>20200726</v>
      </c>
      <c r="B500" t="s">
        <v>41</v>
      </c>
      <c r="C500" t="s">
        <v>9</v>
      </c>
      <c r="D500">
        <v>4642</v>
      </c>
      <c r="E500">
        <v>1767</v>
      </c>
      <c r="F500">
        <v>937</v>
      </c>
    </row>
    <row r="501" spans="1:6" x14ac:dyDescent="0.2">
      <c r="A501">
        <v>20200726</v>
      </c>
      <c r="B501" t="s">
        <v>51</v>
      </c>
      <c r="C501" t="s">
        <v>9</v>
      </c>
      <c r="D501">
        <v>23</v>
      </c>
      <c r="E501">
        <v>23</v>
      </c>
      <c r="F501">
        <v>11</v>
      </c>
    </row>
    <row r="502" spans="1:6" x14ac:dyDescent="0.2">
      <c r="A502">
        <v>20200726</v>
      </c>
      <c r="B502" t="s">
        <v>27</v>
      </c>
      <c r="C502" t="s">
        <v>9</v>
      </c>
      <c r="D502">
        <v>229</v>
      </c>
      <c r="E502">
        <v>229</v>
      </c>
      <c r="F502">
        <v>133</v>
      </c>
    </row>
    <row r="503" spans="1:6" x14ac:dyDescent="0.2">
      <c r="A503">
        <v>20200726</v>
      </c>
      <c r="B503" t="s">
        <v>19</v>
      </c>
      <c r="C503" t="s">
        <v>7</v>
      </c>
      <c r="D503">
        <v>17</v>
      </c>
      <c r="E503">
        <v>10</v>
      </c>
      <c r="F503">
        <v>8</v>
      </c>
    </row>
    <row r="504" spans="1:6" x14ac:dyDescent="0.2">
      <c r="A504">
        <v>20200726</v>
      </c>
      <c r="B504" t="s">
        <v>19</v>
      </c>
      <c r="C504" t="s">
        <v>9</v>
      </c>
      <c r="D504">
        <v>13</v>
      </c>
      <c r="E504">
        <v>11</v>
      </c>
      <c r="F504">
        <v>5</v>
      </c>
    </row>
    <row r="505" spans="1:6" x14ac:dyDescent="0.2">
      <c r="A505">
        <v>20200726</v>
      </c>
      <c r="B505" t="s">
        <v>142</v>
      </c>
      <c r="C505" t="s">
        <v>7</v>
      </c>
      <c r="D505">
        <v>4981</v>
      </c>
      <c r="E505">
        <v>1584</v>
      </c>
      <c r="F505">
        <v>694</v>
      </c>
    </row>
    <row r="506" spans="1:6" x14ac:dyDescent="0.2">
      <c r="A506">
        <v>20200726</v>
      </c>
      <c r="B506" t="s">
        <v>142</v>
      </c>
      <c r="C506" t="s">
        <v>9</v>
      </c>
      <c r="D506">
        <v>3768</v>
      </c>
      <c r="E506">
        <v>948</v>
      </c>
      <c r="F506">
        <v>466</v>
      </c>
    </row>
    <row r="507" spans="1:6" x14ac:dyDescent="0.2">
      <c r="A507">
        <v>20200726</v>
      </c>
      <c r="B507" t="s">
        <v>35</v>
      </c>
      <c r="C507" t="s">
        <v>9</v>
      </c>
      <c r="D507">
        <v>1</v>
      </c>
      <c r="E507">
        <v>1</v>
      </c>
      <c r="F507">
        <v>0</v>
      </c>
    </row>
    <row r="508" spans="1:6" x14ac:dyDescent="0.2">
      <c r="A508">
        <v>20200726</v>
      </c>
      <c r="B508" t="s">
        <v>73</v>
      </c>
      <c r="C508" t="s">
        <v>9</v>
      </c>
      <c r="D508">
        <v>301</v>
      </c>
      <c r="E508">
        <v>301</v>
      </c>
      <c r="F508">
        <v>120</v>
      </c>
    </row>
    <row r="509" spans="1:6" x14ac:dyDescent="0.2">
      <c r="A509">
        <v>20200726</v>
      </c>
      <c r="B509" t="s">
        <v>20</v>
      </c>
      <c r="C509" t="s">
        <v>7</v>
      </c>
      <c r="D509">
        <v>302</v>
      </c>
      <c r="E509">
        <v>166</v>
      </c>
      <c r="F509">
        <v>98</v>
      </c>
    </row>
    <row r="510" spans="1:6" x14ac:dyDescent="0.2">
      <c r="A510">
        <v>20200726</v>
      </c>
      <c r="B510" t="s">
        <v>20</v>
      </c>
      <c r="C510" t="s">
        <v>9</v>
      </c>
      <c r="D510">
        <v>735</v>
      </c>
      <c r="E510">
        <v>377</v>
      </c>
      <c r="F510">
        <v>195</v>
      </c>
    </row>
    <row r="511" spans="1:6" x14ac:dyDescent="0.2">
      <c r="A511">
        <v>20200726</v>
      </c>
      <c r="B511" t="s">
        <v>56</v>
      </c>
      <c r="C511" t="s">
        <v>9</v>
      </c>
      <c r="D511">
        <v>27</v>
      </c>
      <c r="E511">
        <v>27</v>
      </c>
      <c r="F511">
        <v>18</v>
      </c>
    </row>
    <row r="512" spans="1:6" x14ac:dyDescent="0.2">
      <c r="A512">
        <v>20200726</v>
      </c>
      <c r="B512" t="s">
        <v>154</v>
      </c>
      <c r="C512" t="s">
        <v>7</v>
      </c>
      <c r="D512">
        <v>1761</v>
      </c>
      <c r="E512">
        <v>0</v>
      </c>
      <c r="F512">
        <v>0</v>
      </c>
    </row>
    <row r="513" spans="1:6" x14ac:dyDescent="0.2">
      <c r="A513">
        <v>20200726</v>
      </c>
      <c r="B513" t="s">
        <v>154</v>
      </c>
      <c r="C513" t="s">
        <v>9</v>
      </c>
      <c r="D513">
        <v>1564</v>
      </c>
      <c r="E513">
        <v>0</v>
      </c>
      <c r="F513">
        <v>0</v>
      </c>
    </row>
    <row r="514" spans="1:6" x14ac:dyDescent="0.2">
      <c r="A514">
        <v>20200726</v>
      </c>
      <c r="B514" t="s">
        <v>160</v>
      </c>
      <c r="C514" t="s">
        <v>9</v>
      </c>
      <c r="D514">
        <v>255</v>
      </c>
      <c r="E514">
        <v>195</v>
      </c>
      <c r="F514">
        <v>58</v>
      </c>
    </row>
    <row r="515" spans="1:6" x14ac:dyDescent="0.2">
      <c r="A515">
        <v>20200726</v>
      </c>
      <c r="B515" t="s">
        <v>57</v>
      </c>
      <c r="C515" t="s">
        <v>7</v>
      </c>
      <c r="D515">
        <v>913</v>
      </c>
      <c r="E515">
        <v>777</v>
      </c>
      <c r="F515">
        <v>454</v>
      </c>
    </row>
    <row r="516" spans="1:6" x14ac:dyDescent="0.2">
      <c r="A516">
        <v>20200726</v>
      </c>
      <c r="B516" t="s">
        <v>57</v>
      </c>
      <c r="C516" t="s">
        <v>9</v>
      </c>
      <c r="D516">
        <v>738</v>
      </c>
      <c r="E516">
        <v>635</v>
      </c>
      <c r="F516">
        <v>385</v>
      </c>
    </row>
    <row r="517" spans="1:6" x14ac:dyDescent="0.2">
      <c r="A517">
        <v>20200726</v>
      </c>
      <c r="B517" t="s">
        <v>72</v>
      </c>
      <c r="C517" t="s">
        <v>7</v>
      </c>
      <c r="D517">
        <v>40</v>
      </c>
      <c r="E517">
        <v>40</v>
      </c>
      <c r="F517">
        <v>27</v>
      </c>
    </row>
    <row r="518" spans="1:6" x14ac:dyDescent="0.2">
      <c r="A518">
        <v>20200726</v>
      </c>
      <c r="B518" t="s">
        <v>72</v>
      </c>
      <c r="C518" t="s">
        <v>9</v>
      </c>
      <c r="D518">
        <v>554</v>
      </c>
      <c r="E518">
        <v>554</v>
      </c>
      <c r="F518">
        <v>404</v>
      </c>
    </row>
    <row r="519" spans="1:6" x14ac:dyDescent="0.2">
      <c r="A519">
        <v>20200726</v>
      </c>
      <c r="B519" t="s">
        <v>28</v>
      </c>
      <c r="C519" t="s">
        <v>9</v>
      </c>
      <c r="D519">
        <v>92</v>
      </c>
      <c r="E519">
        <v>92</v>
      </c>
      <c r="F519">
        <v>70</v>
      </c>
    </row>
    <row r="520" spans="1:6" x14ac:dyDescent="0.2">
      <c r="A520">
        <v>20200726</v>
      </c>
      <c r="B520" t="s">
        <v>66</v>
      </c>
      <c r="C520" t="s">
        <v>7</v>
      </c>
      <c r="D520">
        <v>13</v>
      </c>
      <c r="E520">
        <v>5</v>
      </c>
      <c r="F520">
        <v>2</v>
      </c>
    </row>
    <row r="521" spans="1:6" x14ac:dyDescent="0.2">
      <c r="A521">
        <v>20200726</v>
      </c>
      <c r="B521" t="s">
        <v>66</v>
      </c>
      <c r="C521" t="s">
        <v>9</v>
      </c>
      <c r="D521">
        <v>15</v>
      </c>
      <c r="E521">
        <v>7</v>
      </c>
      <c r="F521">
        <v>2</v>
      </c>
    </row>
    <row r="522" spans="1:6" x14ac:dyDescent="0.2">
      <c r="A522">
        <v>20200726</v>
      </c>
      <c r="B522" t="s">
        <v>153</v>
      </c>
      <c r="C522" t="s">
        <v>9</v>
      </c>
      <c r="D522">
        <v>40</v>
      </c>
      <c r="E522">
        <v>16</v>
      </c>
      <c r="F522">
        <v>9</v>
      </c>
    </row>
    <row r="523" spans="1:6" x14ac:dyDescent="0.2">
      <c r="A523">
        <v>20200726</v>
      </c>
      <c r="B523" t="s">
        <v>76</v>
      </c>
      <c r="C523" t="s">
        <v>7</v>
      </c>
      <c r="D523">
        <v>962</v>
      </c>
      <c r="E523">
        <v>962</v>
      </c>
      <c r="F523">
        <v>746</v>
      </c>
    </row>
    <row r="524" spans="1:6" x14ac:dyDescent="0.2">
      <c r="A524">
        <v>20200726</v>
      </c>
      <c r="B524" t="s">
        <v>76</v>
      </c>
      <c r="C524" t="s">
        <v>9</v>
      </c>
      <c r="D524">
        <v>647</v>
      </c>
      <c r="E524">
        <v>647</v>
      </c>
      <c r="F524">
        <v>519</v>
      </c>
    </row>
    <row r="525" spans="1:6" x14ac:dyDescent="0.2">
      <c r="A525">
        <v>20200726</v>
      </c>
      <c r="B525" t="s">
        <v>62</v>
      </c>
      <c r="C525" t="s">
        <v>9</v>
      </c>
      <c r="D525">
        <v>37</v>
      </c>
      <c r="E525">
        <v>31</v>
      </c>
      <c r="F525">
        <v>20</v>
      </c>
    </row>
    <row r="526" spans="1:6" x14ac:dyDescent="0.2">
      <c r="A526">
        <v>20200726</v>
      </c>
      <c r="B526" t="s">
        <v>77</v>
      </c>
      <c r="C526" t="s">
        <v>9</v>
      </c>
      <c r="D526">
        <v>16</v>
      </c>
      <c r="E526">
        <v>10</v>
      </c>
      <c r="F526">
        <v>7</v>
      </c>
    </row>
    <row r="527" spans="1:6" x14ac:dyDescent="0.2">
      <c r="A527">
        <v>20200726</v>
      </c>
      <c r="B527" t="s">
        <v>53</v>
      </c>
      <c r="C527" t="s">
        <v>9</v>
      </c>
      <c r="D527">
        <v>93</v>
      </c>
      <c r="E527">
        <v>93</v>
      </c>
      <c r="F527">
        <v>59</v>
      </c>
    </row>
    <row r="528" spans="1:6" x14ac:dyDescent="0.2">
      <c r="A528">
        <v>20200726</v>
      </c>
      <c r="B528" t="s">
        <v>95</v>
      </c>
      <c r="C528" t="s">
        <v>7</v>
      </c>
      <c r="D528">
        <v>1191</v>
      </c>
      <c r="E528">
        <v>1191</v>
      </c>
      <c r="F528">
        <v>719</v>
      </c>
    </row>
    <row r="529" spans="1:6" x14ac:dyDescent="0.2">
      <c r="A529">
        <v>20200726</v>
      </c>
      <c r="B529" t="s">
        <v>95</v>
      </c>
      <c r="C529" t="s">
        <v>9</v>
      </c>
      <c r="D529">
        <v>726</v>
      </c>
      <c r="E529">
        <v>726</v>
      </c>
      <c r="F529">
        <v>429</v>
      </c>
    </row>
    <row r="530" spans="1:6" x14ac:dyDescent="0.2">
      <c r="A530">
        <v>20200726</v>
      </c>
      <c r="B530" t="s">
        <v>102</v>
      </c>
      <c r="C530" t="s">
        <v>9</v>
      </c>
      <c r="D530">
        <v>5</v>
      </c>
      <c r="E530">
        <v>5</v>
      </c>
      <c r="F530">
        <v>2</v>
      </c>
    </row>
    <row r="531" spans="1:6" x14ac:dyDescent="0.2">
      <c r="A531">
        <v>20200726</v>
      </c>
      <c r="B531" t="s">
        <v>116</v>
      </c>
      <c r="C531" t="s">
        <v>7</v>
      </c>
      <c r="D531">
        <v>21447</v>
      </c>
      <c r="E531">
        <v>0</v>
      </c>
      <c r="F531">
        <v>0</v>
      </c>
    </row>
    <row r="532" spans="1:6" x14ac:dyDescent="0.2">
      <c r="A532">
        <v>20200726</v>
      </c>
      <c r="B532" t="s">
        <v>116</v>
      </c>
      <c r="C532" t="s">
        <v>9</v>
      </c>
      <c r="D532">
        <v>21593</v>
      </c>
      <c r="E532">
        <v>1</v>
      </c>
      <c r="F532">
        <v>0</v>
      </c>
    </row>
    <row r="533" spans="1:6" x14ac:dyDescent="0.2">
      <c r="A533">
        <v>20200726</v>
      </c>
      <c r="B533" t="s">
        <v>58</v>
      </c>
      <c r="C533" t="s">
        <v>9</v>
      </c>
      <c r="D533">
        <v>410</v>
      </c>
      <c r="E533">
        <v>323</v>
      </c>
      <c r="F533">
        <v>192</v>
      </c>
    </row>
    <row r="534" spans="1:6" x14ac:dyDescent="0.2">
      <c r="A534">
        <v>20200726</v>
      </c>
      <c r="B534" t="s">
        <v>162</v>
      </c>
      <c r="C534" t="s">
        <v>9</v>
      </c>
      <c r="D534">
        <v>210</v>
      </c>
      <c r="E534">
        <v>210</v>
      </c>
      <c r="F534">
        <v>159</v>
      </c>
    </row>
    <row r="535" spans="1:6" x14ac:dyDescent="0.2">
      <c r="A535">
        <v>20200726</v>
      </c>
      <c r="B535" t="s">
        <v>13</v>
      </c>
      <c r="C535" t="s">
        <v>7</v>
      </c>
      <c r="D535">
        <v>1489</v>
      </c>
      <c r="E535">
        <v>1489</v>
      </c>
      <c r="F535">
        <v>1131</v>
      </c>
    </row>
    <row r="536" spans="1:6" x14ac:dyDescent="0.2">
      <c r="A536">
        <v>20200726</v>
      </c>
      <c r="B536" t="s">
        <v>13</v>
      </c>
      <c r="C536" t="s">
        <v>9</v>
      </c>
      <c r="D536">
        <v>2170</v>
      </c>
      <c r="E536">
        <v>2170</v>
      </c>
      <c r="F536">
        <v>1639</v>
      </c>
    </row>
    <row r="537" spans="1:6" x14ac:dyDescent="0.2">
      <c r="A537">
        <v>20200726</v>
      </c>
      <c r="B537" t="s">
        <v>122</v>
      </c>
      <c r="C537" t="s">
        <v>9</v>
      </c>
      <c r="D537">
        <v>590</v>
      </c>
      <c r="E537">
        <v>590</v>
      </c>
      <c r="F537">
        <v>433</v>
      </c>
    </row>
    <row r="538" spans="1:6" x14ac:dyDescent="0.2">
      <c r="A538">
        <v>20200726</v>
      </c>
      <c r="B538" t="s">
        <v>100</v>
      </c>
      <c r="C538" t="s">
        <v>7</v>
      </c>
      <c r="D538">
        <v>22</v>
      </c>
      <c r="E538">
        <v>22</v>
      </c>
      <c r="F538">
        <v>13</v>
      </c>
    </row>
    <row r="539" spans="1:6" x14ac:dyDescent="0.2">
      <c r="A539">
        <v>20200726</v>
      </c>
      <c r="B539" t="s">
        <v>100</v>
      </c>
      <c r="C539" t="s">
        <v>9</v>
      </c>
      <c r="D539">
        <v>1218</v>
      </c>
      <c r="E539">
        <v>1218</v>
      </c>
      <c r="F539">
        <v>721</v>
      </c>
    </row>
    <row r="540" spans="1:6" x14ac:dyDescent="0.2">
      <c r="A540">
        <v>20200726</v>
      </c>
      <c r="B540" t="s">
        <v>140</v>
      </c>
      <c r="C540" t="s">
        <v>7</v>
      </c>
      <c r="D540">
        <v>692</v>
      </c>
      <c r="E540">
        <v>258</v>
      </c>
      <c r="F540">
        <v>105</v>
      </c>
    </row>
    <row r="541" spans="1:6" x14ac:dyDescent="0.2">
      <c r="A541">
        <v>20200726</v>
      </c>
      <c r="B541" t="s">
        <v>140</v>
      </c>
      <c r="C541" t="s">
        <v>9</v>
      </c>
      <c r="D541">
        <v>640</v>
      </c>
      <c r="E541">
        <v>217</v>
      </c>
      <c r="F541">
        <v>91</v>
      </c>
    </row>
    <row r="542" spans="1:6" x14ac:dyDescent="0.2">
      <c r="A542">
        <v>20200726</v>
      </c>
      <c r="B542" t="s">
        <v>80</v>
      </c>
      <c r="C542" t="s">
        <v>9</v>
      </c>
      <c r="D542">
        <v>277</v>
      </c>
      <c r="E542">
        <v>277</v>
      </c>
      <c r="F542">
        <v>210</v>
      </c>
    </row>
    <row r="543" spans="1:6" x14ac:dyDescent="0.2">
      <c r="A543">
        <v>20200726</v>
      </c>
      <c r="B543" t="s">
        <v>54</v>
      </c>
      <c r="C543" t="s">
        <v>9</v>
      </c>
      <c r="D543">
        <v>38</v>
      </c>
      <c r="E543">
        <v>28</v>
      </c>
      <c r="F543">
        <v>12</v>
      </c>
    </row>
    <row r="544" spans="1:6" x14ac:dyDescent="0.2">
      <c r="A544">
        <v>20200726</v>
      </c>
      <c r="B544" t="s">
        <v>134</v>
      </c>
      <c r="C544" t="s">
        <v>9</v>
      </c>
      <c r="D544">
        <v>123</v>
      </c>
      <c r="E544">
        <v>96</v>
      </c>
      <c r="F544">
        <v>52</v>
      </c>
    </row>
    <row r="545" spans="1:6" x14ac:dyDescent="0.2">
      <c r="A545">
        <v>20200726</v>
      </c>
      <c r="B545" t="s">
        <v>92</v>
      </c>
      <c r="C545" t="s">
        <v>9</v>
      </c>
      <c r="D545">
        <v>452</v>
      </c>
      <c r="E545">
        <v>296</v>
      </c>
      <c r="F545">
        <v>131</v>
      </c>
    </row>
    <row r="546" spans="1:6" x14ac:dyDescent="0.2">
      <c r="A546">
        <v>20200726</v>
      </c>
      <c r="B546" t="s">
        <v>75</v>
      </c>
      <c r="C546" t="s">
        <v>9</v>
      </c>
      <c r="D546">
        <v>69</v>
      </c>
      <c r="E546">
        <v>69</v>
      </c>
      <c r="F546">
        <v>47</v>
      </c>
    </row>
    <row r="547" spans="1:6" x14ac:dyDescent="0.2">
      <c r="A547">
        <v>20200726</v>
      </c>
      <c r="B547" t="s">
        <v>103</v>
      </c>
      <c r="C547" t="s">
        <v>9</v>
      </c>
      <c r="D547">
        <v>64</v>
      </c>
      <c r="E547">
        <v>64</v>
      </c>
      <c r="F547">
        <v>46</v>
      </c>
    </row>
    <row r="548" spans="1:6" x14ac:dyDescent="0.2">
      <c r="A548">
        <v>20200726</v>
      </c>
      <c r="B548" t="s">
        <v>141</v>
      </c>
      <c r="C548" t="s">
        <v>9</v>
      </c>
      <c r="D548">
        <v>2062</v>
      </c>
      <c r="E548">
        <v>1504</v>
      </c>
      <c r="F548">
        <v>764</v>
      </c>
    </row>
    <row r="549" spans="1:6" x14ac:dyDescent="0.2">
      <c r="A549">
        <v>20200726</v>
      </c>
      <c r="B549" t="s">
        <v>78</v>
      </c>
      <c r="C549" t="s">
        <v>7</v>
      </c>
      <c r="D549">
        <v>2188</v>
      </c>
      <c r="E549">
        <v>2188</v>
      </c>
      <c r="F549">
        <v>1218</v>
      </c>
    </row>
    <row r="550" spans="1:6" x14ac:dyDescent="0.2">
      <c r="A550">
        <v>20200726</v>
      </c>
      <c r="B550" t="s">
        <v>78</v>
      </c>
      <c r="C550" t="s">
        <v>9</v>
      </c>
      <c r="D550">
        <v>440</v>
      </c>
      <c r="E550">
        <v>440</v>
      </c>
      <c r="F550">
        <v>231</v>
      </c>
    </row>
    <row r="551" spans="1:6" x14ac:dyDescent="0.2">
      <c r="A551">
        <v>20200726</v>
      </c>
      <c r="B551" t="s">
        <v>83</v>
      </c>
      <c r="C551" t="s">
        <v>7</v>
      </c>
      <c r="D551">
        <v>1</v>
      </c>
      <c r="E551">
        <v>1</v>
      </c>
      <c r="F551">
        <v>0</v>
      </c>
    </row>
    <row r="552" spans="1:6" x14ac:dyDescent="0.2">
      <c r="A552">
        <v>20200726</v>
      </c>
      <c r="B552" t="s">
        <v>83</v>
      </c>
      <c r="C552" t="s">
        <v>9</v>
      </c>
      <c r="D552">
        <v>178</v>
      </c>
      <c r="E552">
        <v>178</v>
      </c>
      <c r="F552">
        <v>112</v>
      </c>
    </row>
    <row r="553" spans="1:6" x14ac:dyDescent="0.2">
      <c r="A553">
        <v>20200726</v>
      </c>
      <c r="B553" t="s">
        <v>104</v>
      </c>
      <c r="C553" t="s">
        <v>7</v>
      </c>
      <c r="D553">
        <v>1541</v>
      </c>
      <c r="E553">
        <v>483</v>
      </c>
      <c r="F553">
        <v>269</v>
      </c>
    </row>
    <row r="554" spans="1:6" x14ac:dyDescent="0.2">
      <c r="A554">
        <v>20200726</v>
      </c>
      <c r="B554" t="s">
        <v>104</v>
      </c>
      <c r="C554" t="s">
        <v>9</v>
      </c>
      <c r="D554">
        <v>2389</v>
      </c>
      <c r="E554">
        <v>1341</v>
      </c>
      <c r="F554">
        <v>717</v>
      </c>
    </row>
    <row r="555" spans="1:6" x14ac:dyDescent="0.2">
      <c r="A555">
        <v>20200726</v>
      </c>
      <c r="B555" t="s">
        <v>125</v>
      </c>
      <c r="C555" t="s">
        <v>9</v>
      </c>
      <c r="D555">
        <v>106</v>
      </c>
      <c r="E555">
        <v>106</v>
      </c>
      <c r="F555">
        <v>74</v>
      </c>
    </row>
    <row r="556" spans="1:6" x14ac:dyDescent="0.2">
      <c r="A556">
        <v>20200726</v>
      </c>
      <c r="B556" t="s">
        <v>14</v>
      </c>
      <c r="C556" t="s">
        <v>9</v>
      </c>
      <c r="D556">
        <v>495</v>
      </c>
      <c r="E556">
        <v>495</v>
      </c>
      <c r="F556">
        <v>373</v>
      </c>
    </row>
    <row r="557" spans="1:6" x14ac:dyDescent="0.2">
      <c r="A557">
        <v>20200726</v>
      </c>
      <c r="B557" t="s">
        <v>146</v>
      </c>
      <c r="C557" t="s">
        <v>9</v>
      </c>
      <c r="D557">
        <v>163</v>
      </c>
      <c r="E557">
        <v>106</v>
      </c>
      <c r="F557">
        <v>51</v>
      </c>
    </row>
    <row r="558" spans="1:6" x14ac:dyDescent="0.2">
      <c r="A558">
        <v>20200726</v>
      </c>
      <c r="B558" t="s">
        <v>48</v>
      </c>
      <c r="C558" t="s">
        <v>7</v>
      </c>
      <c r="D558">
        <v>3</v>
      </c>
      <c r="E558">
        <v>3</v>
      </c>
      <c r="F558">
        <v>3</v>
      </c>
    </row>
    <row r="559" spans="1:6" x14ac:dyDescent="0.2">
      <c r="A559">
        <v>20200726</v>
      </c>
      <c r="B559" t="s">
        <v>48</v>
      </c>
      <c r="C559" t="s">
        <v>9</v>
      </c>
      <c r="D559">
        <v>1711</v>
      </c>
      <c r="E559">
        <v>1711</v>
      </c>
      <c r="F559">
        <v>1107</v>
      </c>
    </row>
    <row r="560" spans="1:6" x14ac:dyDescent="0.2">
      <c r="A560">
        <v>20200726</v>
      </c>
      <c r="B560" t="s">
        <v>115</v>
      </c>
      <c r="C560" t="s">
        <v>9</v>
      </c>
      <c r="D560">
        <v>184</v>
      </c>
      <c r="E560">
        <v>184</v>
      </c>
      <c r="F560">
        <v>139</v>
      </c>
    </row>
    <row r="561" spans="1:6" x14ac:dyDescent="0.2">
      <c r="A561">
        <v>20200726</v>
      </c>
      <c r="B561" t="s">
        <v>93</v>
      </c>
      <c r="C561" t="s">
        <v>7</v>
      </c>
      <c r="D561">
        <v>6755</v>
      </c>
      <c r="E561">
        <v>6755</v>
      </c>
      <c r="F561">
        <v>5410</v>
      </c>
    </row>
    <row r="562" spans="1:6" x14ac:dyDescent="0.2">
      <c r="A562">
        <v>20200726</v>
      </c>
      <c r="B562" t="s">
        <v>93</v>
      </c>
      <c r="C562" t="s">
        <v>9</v>
      </c>
      <c r="D562">
        <v>2759</v>
      </c>
      <c r="E562">
        <v>2759</v>
      </c>
      <c r="F562">
        <v>2169</v>
      </c>
    </row>
    <row r="563" spans="1:6" x14ac:dyDescent="0.2">
      <c r="A563">
        <v>20200726</v>
      </c>
      <c r="B563" t="s">
        <v>163</v>
      </c>
      <c r="C563" t="s">
        <v>7</v>
      </c>
      <c r="D563">
        <v>15</v>
      </c>
      <c r="E563">
        <v>11</v>
      </c>
      <c r="F563">
        <v>5</v>
      </c>
    </row>
    <row r="564" spans="1:6" x14ac:dyDescent="0.2">
      <c r="A564">
        <v>20200726</v>
      </c>
      <c r="B564" t="s">
        <v>163</v>
      </c>
      <c r="C564" t="s">
        <v>9</v>
      </c>
      <c r="D564">
        <v>754</v>
      </c>
      <c r="E564">
        <v>538</v>
      </c>
      <c r="F564">
        <v>189</v>
      </c>
    </row>
    <row r="565" spans="1:6" x14ac:dyDescent="0.2">
      <c r="A565">
        <v>20200726</v>
      </c>
      <c r="B565" t="s">
        <v>30</v>
      </c>
      <c r="C565" t="s">
        <v>9</v>
      </c>
      <c r="D565">
        <v>69</v>
      </c>
      <c r="E565">
        <v>69</v>
      </c>
      <c r="F565">
        <v>41</v>
      </c>
    </row>
    <row r="566" spans="1:6" x14ac:dyDescent="0.2">
      <c r="A566">
        <v>20200726</v>
      </c>
      <c r="B566" t="s">
        <v>22</v>
      </c>
      <c r="C566" t="s">
        <v>7</v>
      </c>
      <c r="D566">
        <v>11839</v>
      </c>
      <c r="E566">
        <v>11839</v>
      </c>
      <c r="F566">
        <v>9130</v>
      </c>
    </row>
    <row r="567" spans="1:6" x14ac:dyDescent="0.2">
      <c r="A567">
        <v>20200726</v>
      </c>
      <c r="B567" t="s">
        <v>22</v>
      </c>
      <c r="C567" t="s">
        <v>9</v>
      </c>
      <c r="D567">
        <v>10211</v>
      </c>
      <c r="E567">
        <v>10211</v>
      </c>
      <c r="F567">
        <v>8004</v>
      </c>
    </row>
    <row r="568" spans="1:6" x14ac:dyDescent="0.2">
      <c r="A568">
        <v>20200726</v>
      </c>
      <c r="B568" t="s">
        <v>15</v>
      </c>
      <c r="C568" t="s">
        <v>9</v>
      </c>
      <c r="D568">
        <v>137</v>
      </c>
      <c r="E568">
        <v>137</v>
      </c>
      <c r="F568">
        <v>89</v>
      </c>
    </row>
    <row r="569" spans="1:6" x14ac:dyDescent="0.2">
      <c r="A569">
        <v>20200726</v>
      </c>
      <c r="B569" t="s">
        <v>55</v>
      </c>
      <c r="C569" t="s">
        <v>9</v>
      </c>
      <c r="D569">
        <v>676</v>
      </c>
      <c r="E569">
        <v>676</v>
      </c>
      <c r="F569">
        <v>505</v>
      </c>
    </row>
    <row r="570" spans="1:6" x14ac:dyDescent="0.2">
      <c r="A570">
        <v>20200726</v>
      </c>
      <c r="B570" t="s">
        <v>111</v>
      </c>
      <c r="C570" t="s">
        <v>9</v>
      </c>
      <c r="D570">
        <v>292</v>
      </c>
      <c r="E570">
        <v>292</v>
      </c>
      <c r="F570">
        <v>190</v>
      </c>
    </row>
    <row r="571" spans="1:6" x14ac:dyDescent="0.2">
      <c r="A571">
        <v>20200726</v>
      </c>
      <c r="B571" t="s">
        <v>46</v>
      </c>
      <c r="C571" t="s">
        <v>9</v>
      </c>
      <c r="D571">
        <v>2</v>
      </c>
      <c r="E571">
        <v>2</v>
      </c>
      <c r="F571">
        <v>2</v>
      </c>
    </row>
    <row r="572" spans="1:6" x14ac:dyDescent="0.2">
      <c r="A572">
        <v>20200726</v>
      </c>
      <c r="B572" t="s">
        <v>165</v>
      </c>
      <c r="C572" t="s">
        <v>7</v>
      </c>
      <c r="D572">
        <v>2</v>
      </c>
      <c r="E572">
        <v>0</v>
      </c>
      <c r="F572">
        <v>0</v>
      </c>
    </row>
    <row r="573" spans="1:6" x14ac:dyDescent="0.2">
      <c r="A573">
        <v>20200726</v>
      </c>
      <c r="C573" t="s">
        <v>7</v>
      </c>
      <c r="D573">
        <v>15738</v>
      </c>
      <c r="E573">
        <v>0</v>
      </c>
      <c r="F573">
        <v>0</v>
      </c>
    </row>
    <row r="574" spans="1:6" x14ac:dyDescent="0.2">
      <c r="A574">
        <v>20200726</v>
      </c>
      <c r="C574" t="s">
        <v>9</v>
      </c>
      <c r="D574">
        <v>13969</v>
      </c>
      <c r="E574">
        <v>0</v>
      </c>
      <c r="F574">
        <v>0</v>
      </c>
    </row>
    <row r="575" spans="1:6" x14ac:dyDescent="0.2">
      <c r="A575">
        <v>20200727</v>
      </c>
      <c r="B575" t="s">
        <v>82</v>
      </c>
      <c r="C575" t="s">
        <v>7</v>
      </c>
      <c r="D575">
        <v>28097</v>
      </c>
      <c r="E575">
        <v>28097</v>
      </c>
      <c r="F575">
        <v>17775</v>
      </c>
    </row>
    <row r="576" spans="1:6" x14ac:dyDescent="0.2">
      <c r="A576">
        <v>20200727</v>
      </c>
      <c r="B576" t="s">
        <v>82</v>
      </c>
      <c r="C576" t="s">
        <v>9</v>
      </c>
      <c r="D576">
        <v>17634</v>
      </c>
      <c r="E576">
        <v>17634</v>
      </c>
      <c r="F576">
        <v>11026</v>
      </c>
    </row>
    <row r="577" spans="1:6" x14ac:dyDescent="0.2">
      <c r="A577">
        <v>20200727</v>
      </c>
      <c r="B577" t="s">
        <v>94</v>
      </c>
      <c r="C577" t="s">
        <v>9</v>
      </c>
      <c r="D577">
        <v>86</v>
      </c>
      <c r="E577">
        <v>86</v>
      </c>
      <c r="F577">
        <v>66</v>
      </c>
    </row>
    <row r="578" spans="1:6" x14ac:dyDescent="0.2">
      <c r="A578">
        <v>20200727</v>
      </c>
      <c r="B578" t="s">
        <v>45</v>
      </c>
      <c r="C578" t="s">
        <v>7</v>
      </c>
      <c r="D578">
        <v>1963</v>
      </c>
      <c r="E578">
        <v>6</v>
      </c>
      <c r="F578">
        <v>3</v>
      </c>
    </row>
    <row r="579" spans="1:6" x14ac:dyDescent="0.2">
      <c r="A579">
        <v>20200727</v>
      </c>
      <c r="B579" t="s">
        <v>45</v>
      </c>
      <c r="C579" t="s">
        <v>9</v>
      </c>
      <c r="D579">
        <v>1920</v>
      </c>
      <c r="E579">
        <v>4</v>
      </c>
      <c r="F579">
        <v>1</v>
      </c>
    </row>
    <row r="580" spans="1:6" x14ac:dyDescent="0.2">
      <c r="A580">
        <v>20200727</v>
      </c>
      <c r="B580" t="s">
        <v>69</v>
      </c>
      <c r="C580" t="s">
        <v>7</v>
      </c>
      <c r="D580">
        <v>754</v>
      </c>
      <c r="E580">
        <v>4</v>
      </c>
      <c r="F580">
        <v>2</v>
      </c>
    </row>
    <row r="581" spans="1:6" x14ac:dyDescent="0.2">
      <c r="A581">
        <v>20200727</v>
      </c>
      <c r="B581" t="s">
        <v>69</v>
      </c>
      <c r="C581" t="s">
        <v>9</v>
      </c>
      <c r="D581">
        <v>766</v>
      </c>
      <c r="E581">
        <v>2</v>
      </c>
      <c r="F581">
        <v>1</v>
      </c>
    </row>
    <row r="582" spans="1:6" x14ac:dyDescent="0.2">
      <c r="A582">
        <v>20200727</v>
      </c>
      <c r="B582" t="s">
        <v>123</v>
      </c>
      <c r="C582" t="s">
        <v>7</v>
      </c>
      <c r="D582">
        <v>1169</v>
      </c>
      <c r="E582">
        <v>3</v>
      </c>
      <c r="F582">
        <v>2</v>
      </c>
    </row>
    <row r="583" spans="1:6" x14ac:dyDescent="0.2">
      <c r="A583">
        <v>20200727</v>
      </c>
      <c r="B583" t="s">
        <v>123</v>
      </c>
      <c r="C583" t="s">
        <v>9</v>
      </c>
      <c r="D583">
        <v>1345</v>
      </c>
      <c r="E583">
        <v>7</v>
      </c>
      <c r="F583">
        <v>4</v>
      </c>
    </row>
    <row r="584" spans="1:6" x14ac:dyDescent="0.2">
      <c r="A584">
        <v>20200727</v>
      </c>
      <c r="B584" t="s">
        <v>101</v>
      </c>
      <c r="C584" t="s">
        <v>7</v>
      </c>
      <c r="D584">
        <v>1796</v>
      </c>
      <c r="E584">
        <v>5</v>
      </c>
      <c r="F584">
        <v>4</v>
      </c>
    </row>
    <row r="585" spans="1:6" x14ac:dyDescent="0.2">
      <c r="A585">
        <v>20200727</v>
      </c>
      <c r="B585" t="s">
        <v>101</v>
      </c>
      <c r="C585" t="s">
        <v>9</v>
      </c>
      <c r="D585">
        <v>1692</v>
      </c>
      <c r="E585">
        <v>5</v>
      </c>
      <c r="F585">
        <v>4</v>
      </c>
    </row>
    <row r="586" spans="1:6" x14ac:dyDescent="0.2">
      <c r="A586">
        <v>20200727</v>
      </c>
      <c r="B586" t="s">
        <v>133</v>
      </c>
      <c r="C586" t="s">
        <v>9</v>
      </c>
      <c r="D586">
        <v>27</v>
      </c>
      <c r="E586">
        <v>11</v>
      </c>
      <c r="F586">
        <v>1</v>
      </c>
    </row>
    <row r="587" spans="1:6" x14ac:dyDescent="0.2">
      <c r="A587">
        <v>20200727</v>
      </c>
      <c r="B587" t="s">
        <v>11</v>
      </c>
      <c r="C587" t="s">
        <v>7</v>
      </c>
      <c r="D587">
        <v>11355</v>
      </c>
      <c r="E587">
        <v>2</v>
      </c>
      <c r="F587">
        <v>0</v>
      </c>
    </row>
    <row r="588" spans="1:6" x14ac:dyDescent="0.2">
      <c r="A588">
        <v>20200727</v>
      </c>
      <c r="B588" t="s">
        <v>11</v>
      </c>
      <c r="C588" t="s">
        <v>9</v>
      </c>
      <c r="D588">
        <v>11199</v>
      </c>
      <c r="E588">
        <v>2</v>
      </c>
      <c r="F588">
        <v>0</v>
      </c>
    </row>
    <row r="589" spans="1:6" x14ac:dyDescent="0.2">
      <c r="A589">
        <v>20200727</v>
      </c>
      <c r="B589" t="s">
        <v>16</v>
      </c>
      <c r="C589" t="s">
        <v>7</v>
      </c>
      <c r="D589">
        <v>581</v>
      </c>
      <c r="E589">
        <v>581</v>
      </c>
      <c r="F589">
        <v>370</v>
      </c>
    </row>
    <row r="590" spans="1:6" x14ac:dyDescent="0.2">
      <c r="A590">
        <v>20200727</v>
      </c>
      <c r="B590" t="s">
        <v>16</v>
      </c>
      <c r="C590" t="s">
        <v>9</v>
      </c>
      <c r="D590">
        <v>461</v>
      </c>
      <c r="E590">
        <v>461</v>
      </c>
      <c r="F590">
        <v>329</v>
      </c>
    </row>
    <row r="591" spans="1:6" x14ac:dyDescent="0.2">
      <c r="A591">
        <v>20200727</v>
      </c>
      <c r="B591" t="s">
        <v>6</v>
      </c>
      <c r="C591" t="s">
        <v>7</v>
      </c>
      <c r="D591">
        <v>961</v>
      </c>
      <c r="E591">
        <v>454</v>
      </c>
      <c r="F591">
        <v>320</v>
      </c>
    </row>
    <row r="592" spans="1:6" x14ac:dyDescent="0.2">
      <c r="A592">
        <v>20200727</v>
      </c>
      <c r="B592" t="s">
        <v>6</v>
      </c>
      <c r="C592" t="s">
        <v>9</v>
      </c>
      <c r="D592">
        <v>8579</v>
      </c>
      <c r="E592">
        <v>3643</v>
      </c>
      <c r="F592">
        <v>2540</v>
      </c>
    </row>
    <row r="593" spans="1:6" x14ac:dyDescent="0.2">
      <c r="A593">
        <v>20200727</v>
      </c>
      <c r="B593" t="s">
        <v>41</v>
      </c>
      <c r="C593" t="s">
        <v>7</v>
      </c>
      <c r="D593">
        <v>513</v>
      </c>
      <c r="E593">
        <v>392</v>
      </c>
      <c r="F593">
        <v>177</v>
      </c>
    </row>
    <row r="594" spans="1:6" x14ac:dyDescent="0.2">
      <c r="A594">
        <v>20200727</v>
      </c>
      <c r="B594" t="s">
        <v>41</v>
      </c>
      <c r="C594" t="s">
        <v>9</v>
      </c>
      <c r="D594">
        <v>592</v>
      </c>
      <c r="E594">
        <v>452</v>
      </c>
      <c r="F594">
        <v>221</v>
      </c>
    </row>
    <row r="595" spans="1:6" x14ac:dyDescent="0.2">
      <c r="A595">
        <v>20200727</v>
      </c>
      <c r="B595" t="s">
        <v>51</v>
      </c>
      <c r="C595" t="s">
        <v>9</v>
      </c>
      <c r="D595">
        <v>27</v>
      </c>
      <c r="E595">
        <v>27</v>
      </c>
      <c r="F595">
        <v>12</v>
      </c>
    </row>
    <row r="596" spans="1:6" x14ac:dyDescent="0.2">
      <c r="A596">
        <v>20200727</v>
      </c>
      <c r="B596" t="s">
        <v>27</v>
      </c>
      <c r="C596" t="s">
        <v>9</v>
      </c>
      <c r="D596">
        <v>38</v>
      </c>
      <c r="E596">
        <v>38</v>
      </c>
      <c r="F596">
        <v>19</v>
      </c>
    </row>
    <row r="597" spans="1:6" x14ac:dyDescent="0.2">
      <c r="A597">
        <v>20200727</v>
      </c>
      <c r="B597" t="s">
        <v>19</v>
      </c>
      <c r="C597" t="s">
        <v>7</v>
      </c>
      <c r="D597">
        <v>3</v>
      </c>
      <c r="E597">
        <v>1</v>
      </c>
      <c r="F597">
        <v>1</v>
      </c>
    </row>
    <row r="598" spans="1:6" x14ac:dyDescent="0.2">
      <c r="A598">
        <v>20200727</v>
      </c>
      <c r="B598" t="s">
        <v>19</v>
      </c>
      <c r="C598" t="s">
        <v>9</v>
      </c>
      <c r="D598">
        <v>8</v>
      </c>
      <c r="E598">
        <v>5</v>
      </c>
      <c r="F598">
        <v>2</v>
      </c>
    </row>
    <row r="599" spans="1:6" x14ac:dyDescent="0.2">
      <c r="A599">
        <v>20200727</v>
      </c>
      <c r="B599" t="s">
        <v>142</v>
      </c>
      <c r="C599" t="s">
        <v>7</v>
      </c>
      <c r="D599">
        <v>2112</v>
      </c>
      <c r="E599">
        <v>1460</v>
      </c>
      <c r="F599">
        <v>632</v>
      </c>
    </row>
    <row r="600" spans="1:6" x14ac:dyDescent="0.2">
      <c r="A600">
        <v>20200727</v>
      </c>
      <c r="B600" t="s">
        <v>142</v>
      </c>
      <c r="C600" t="s">
        <v>9</v>
      </c>
      <c r="D600">
        <v>1301</v>
      </c>
      <c r="E600">
        <v>933</v>
      </c>
      <c r="F600">
        <v>448</v>
      </c>
    </row>
    <row r="601" spans="1:6" x14ac:dyDescent="0.2">
      <c r="A601">
        <v>20200727</v>
      </c>
      <c r="B601" t="s">
        <v>73</v>
      </c>
      <c r="C601" t="s">
        <v>9</v>
      </c>
      <c r="D601">
        <v>177</v>
      </c>
      <c r="E601">
        <v>177</v>
      </c>
      <c r="F601">
        <v>58</v>
      </c>
    </row>
    <row r="602" spans="1:6" x14ac:dyDescent="0.2">
      <c r="A602">
        <v>20200727</v>
      </c>
      <c r="B602" t="s">
        <v>20</v>
      </c>
      <c r="C602" t="s">
        <v>7</v>
      </c>
      <c r="D602">
        <v>137</v>
      </c>
      <c r="E602">
        <v>79</v>
      </c>
      <c r="F602">
        <v>41</v>
      </c>
    </row>
    <row r="603" spans="1:6" x14ac:dyDescent="0.2">
      <c r="A603">
        <v>20200727</v>
      </c>
      <c r="B603" t="s">
        <v>20</v>
      </c>
      <c r="C603" t="s">
        <v>9</v>
      </c>
      <c r="D603">
        <v>721</v>
      </c>
      <c r="E603">
        <v>356</v>
      </c>
      <c r="F603">
        <v>162</v>
      </c>
    </row>
    <row r="604" spans="1:6" x14ac:dyDescent="0.2">
      <c r="A604">
        <v>20200727</v>
      </c>
      <c r="B604" t="s">
        <v>49</v>
      </c>
      <c r="C604" t="s">
        <v>7</v>
      </c>
      <c r="D604">
        <v>2082</v>
      </c>
      <c r="E604">
        <v>408</v>
      </c>
      <c r="F604">
        <v>299</v>
      </c>
    </row>
    <row r="605" spans="1:6" x14ac:dyDescent="0.2">
      <c r="A605">
        <v>20200727</v>
      </c>
      <c r="B605" t="s">
        <v>49</v>
      </c>
      <c r="C605" t="s">
        <v>9</v>
      </c>
      <c r="D605">
        <v>1708</v>
      </c>
      <c r="E605">
        <v>286</v>
      </c>
      <c r="F605">
        <v>229</v>
      </c>
    </row>
    <row r="606" spans="1:6" x14ac:dyDescent="0.2">
      <c r="A606">
        <v>20200727</v>
      </c>
      <c r="B606" t="s">
        <v>56</v>
      </c>
      <c r="C606" t="s">
        <v>9</v>
      </c>
      <c r="D606">
        <v>12</v>
      </c>
      <c r="E606">
        <v>12</v>
      </c>
      <c r="F606">
        <v>7</v>
      </c>
    </row>
    <row r="607" spans="1:6" x14ac:dyDescent="0.2">
      <c r="A607">
        <v>20200727</v>
      </c>
      <c r="B607" t="s">
        <v>160</v>
      </c>
      <c r="C607" t="s">
        <v>9</v>
      </c>
      <c r="D607">
        <v>3</v>
      </c>
      <c r="E607">
        <v>2</v>
      </c>
      <c r="F607">
        <v>0</v>
      </c>
    </row>
    <row r="608" spans="1:6" x14ac:dyDescent="0.2">
      <c r="A608">
        <v>20200727</v>
      </c>
      <c r="B608" t="s">
        <v>38</v>
      </c>
      <c r="C608" t="s">
        <v>7</v>
      </c>
      <c r="D608">
        <v>675</v>
      </c>
      <c r="E608">
        <v>675</v>
      </c>
      <c r="F608">
        <v>319</v>
      </c>
    </row>
    <row r="609" spans="1:6" x14ac:dyDescent="0.2">
      <c r="A609">
        <v>20200727</v>
      </c>
      <c r="B609" t="s">
        <v>38</v>
      </c>
      <c r="C609" t="s">
        <v>9</v>
      </c>
      <c r="D609">
        <v>553</v>
      </c>
      <c r="E609">
        <v>553</v>
      </c>
      <c r="F609">
        <v>236</v>
      </c>
    </row>
    <row r="610" spans="1:6" x14ac:dyDescent="0.2">
      <c r="A610">
        <v>20200727</v>
      </c>
      <c r="B610" t="s">
        <v>57</v>
      </c>
      <c r="C610" t="s">
        <v>7</v>
      </c>
      <c r="D610">
        <v>101</v>
      </c>
      <c r="E610">
        <v>82</v>
      </c>
      <c r="F610">
        <v>50</v>
      </c>
    </row>
    <row r="611" spans="1:6" x14ac:dyDescent="0.2">
      <c r="A611">
        <v>20200727</v>
      </c>
      <c r="B611" t="s">
        <v>57</v>
      </c>
      <c r="C611" t="s">
        <v>9</v>
      </c>
      <c r="D611">
        <v>93</v>
      </c>
      <c r="E611">
        <v>81</v>
      </c>
      <c r="F611">
        <v>53</v>
      </c>
    </row>
    <row r="612" spans="1:6" x14ac:dyDescent="0.2">
      <c r="A612">
        <v>20200727</v>
      </c>
      <c r="B612" t="s">
        <v>25</v>
      </c>
      <c r="C612" t="s">
        <v>9</v>
      </c>
      <c r="D612">
        <v>236</v>
      </c>
      <c r="E612">
        <v>236</v>
      </c>
      <c r="F612">
        <v>178</v>
      </c>
    </row>
    <row r="613" spans="1:6" x14ac:dyDescent="0.2">
      <c r="A613">
        <v>20200727</v>
      </c>
      <c r="B613" t="s">
        <v>72</v>
      </c>
      <c r="C613" t="s">
        <v>7</v>
      </c>
      <c r="D613">
        <v>4</v>
      </c>
      <c r="E613">
        <v>4</v>
      </c>
      <c r="F613">
        <v>2</v>
      </c>
    </row>
    <row r="614" spans="1:6" x14ac:dyDescent="0.2">
      <c r="A614">
        <v>20200727</v>
      </c>
      <c r="B614" t="s">
        <v>72</v>
      </c>
      <c r="C614" t="s">
        <v>9</v>
      </c>
      <c r="D614">
        <v>567</v>
      </c>
      <c r="E614">
        <v>567</v>
      </c>
      <c r="F614">
        <v>450</v>
      </c>
    </row>
    <row r="615" spans="1:6" x14ac:dyDescent="0.2">
      <c r="A615">
        <v>20200727</v>
      </c>
      <c r="B615" t="s">
        <v>28</v>
      </c>
      <c r="C615" t="s">
        <v>9</v>
      </c>
      <c r="D615">
        <v>84</v>
      </c>
      <c r="E615">
        <v>84</v>
      </c>
      <c r="F615">
        <v>59</v>
      </c>
    </row>
    <row r="616" spans="1:6" x14ac:dyDescent="0.2">
      <c r="A616">
        <v>20200727</v>
      </c>
      <c r="B616" t="s">
        <v>66</v>
      </c>
      <c r="C616" t="s">
        <v>7</v>
      </c>
      <c r="D616">
        <v>113</v>
      </c>
      <c r="E616">
        <v>83</v>
      </c>
      <c r="F616">
        <v>40</v>
      </c>
    </row>
    <row r="617" spans="1:6" x14ac:dyDescent="0.2">
      <c r="A617">
        <v>20200727</v>
      </c>
      <c r="B617" t="s">
        <v>66</v>
      </c>
      <c r="C617" t="s">
        <v>9</v>
      </c>
      <c r="D617">
        <v>199</v>
      </c>
      <c r="E617">
        <v>104</v>
      </c>
      <c r="F617">
        <v>45</v>
      </c>
    </row>
    <row r="618" spans="1:6" x14ac:dyDescent="0.2">
      <c r="A618">
        <v>20200727</v>
      </c>
      <c r="B618" t="s">
        <v>76</v>
      </c>
      <c r="C618" t="s">
        <v>7</v>
      </c>
      <c r="D618">
        <v>205</v>
      </c>
      <c r="E618">
        <v>205</v>
      </c>
      <c r="F618">
        <v>155</v>
      </c>
    </row>
    <row r="619" spans="1:6" x14ac:dyDescent="0.2">
      <c r="A619">
        <v>20200727</v>
      </c>
      <c r="B619" t="s">
        <v>76</v>
      </c>
      <c r="C619" t="s">
        <v>9</v>
      </c>
      <c r="D619">
        <v>564</v>
      </c>
      <c r="E619">
        <v>564</v>
      </c>
      <c r="F619">
        <v>434</v>
      </c>
    </row>
    <row r="620" spans="1:6" x14ac:dyDescent="0.2">
      <c r="A620">
        <v>20200727</v>
      </c>
      <c r="B620" t="s">
        <v>62</v>
      </c>
      <c r="C620" t="s">
        <v>7</v>
      </c>
      <c r="D620">
        <v>5</v>
      </c>
      <c r="E620">
        <v>3</v>
      </c>
      <c r="F620">
        <v>1</v>
      </c>
    </row>
    <row r="621" spans="1:6" x14ac:dyDescent="0.2">
      <c r="A621">
        <v>20200727</v>
      </c>
      <c r="B621" t="s">
        <v>62</v>
      </c>
      <c r="C621" t="s">
        <v>9</v>
      </c>
      <c r="D621">
        <v>301</v>
      </c>
      <c r="E621">
        <v>213</v>
      </c>
      <c r="F621">
        <v>109</v>
      </c>
    </row>
    <row r="622" spans="1:6" x14ac:dyDescent="0.2">
      <c r="A622">
        <v>20200727</v>
      </c>
      <c r="B622" t="s">
        <v>79</v>
      </c>
      <c r="C622" t="s">
        <v>9</v>
      </c>
      <c r="D622">
        <v>56</v>
      </c>
      <c r="E622">
        <v>56</v>
      </c>
      <c r="F622">
        <v>10</v>
      </c>
    </row>
    <row r="623" spans="1:6" x14ac:dyDescent="0.2">
      <c r="A623">
        <v>20200727</v>
      </c>
      <c r="B623" t="s">
        <v>53</v>
      </c>
      <c r="C623" t="s">
        <v>9</v>
      </c>
      <c r="D623">
        <v>76</v>
      </c>
      <c r="E623">
        <v>76</v>
      </c>
      <c r="F623">
        <v>59</v>
      </c>
    </row>
    <row r="624" spans="1:6" x14ac:dyDescent="0.2">
      <c r="A624">
        <v>20200727</v>
      </c>
      <c r="B624" t="s">
        <v>95</v>
      </c>
      <c r="C624" t="s">
        <v>7</v>
      </c>
      <c r="D624">
        <v>690</v>
      </c>
      <c r="E624">
        <v>690</v>
      </c>
      <c r="F624">
        <v>400</v>
      </c>
    </row>
    <row r="625" spans="1:6" x14ac:dyDescent="0.2">
      <c r="A625">
        <v>20200727</v>
      </c>
      <c r="B625" t="s">
        <v>95</v>
      </c>
      <c r="C625" t="s">
        <v>9</v>
      </c>
      <c r="D625">
        <v>566</v>
      </c>
      <c r="E625">
        <v>566</v>
      </c>
      <c r="F625">
        <v>332</v>
      </c>
    </row>
    <row r="626" spans="1:6" x14ac:dyDescent="0.2">
      <c r="A626">
        <v>20200727</v>
      </c>
      <c r="B626" t="s">
        <v>74</v>
      </c>
      <c r="C626" t="s">
        <v>9</v>
      </c>
      <c r="D626">
        <v>424</v>
      </c>
      <c r="E626">
        <v>424</v>
      </c>
      <c r="F626">
        <v>181</v>
      </c>
    </row>
    <row r="627" spans="1:6" x14ac:dyDescent="0.2">
      <c r="A627">
        <v>20200727</v>
      </c>
      <c r="B627" t="s">
        <v>102</v>
      </c>
      <c r="C627" t="s">
        <v>9</v>
      </c>
      <c r="D627">
        <v>1552</v>
      </c>
      <c r="E627">
        <v>1552</v>
      </c>
      <c r="F627">
        <v>722</v>
      </c>
    </row>
    <row r="628" spans="1:6" x14ac:dyDescent="0.2">
      <c r="A628">
        <v>20200727</v>
      </c>
      <c r="B628" t="s">
        <v>116</v>
      </c>
      <c r="C628" t="s">
        <v>7</v>
      </c>
      <c r="D628">
        <v>8222</v>
      </c>
      <c r="E628">
        <v>6396</v>
      </c>
      <c r="F628">
        <v>2410</v>
      </c>
    </row>
    <row r="629" spans="1:6" x14ac:dyDescent="0.2">
      <c r="A629">
        <v>20200727</v>
      </c>
      <c r="B629" t="s">
        <v>116</v>
      </c>
      <c r="C629" t="s">
        <v>9</v>
      </c>
      <c r="D629">
        <v>9313</v>
      </c>
      <c r="E629">
        <v>7345</v>
      </c>
      <c r="F629">
        <v>2834</v>
      </c>
    </row>
    <row r="630" spans="1:6" x14ac:dyDescent="0.2">
      <c r="A630">
        <v>20200727</v>
      </c>
      <c r="B630" t="s">
        <v>58</v>
      </c>
      <c r="C630" t="s">
        <v>9</v>
      </c>
      <c r="D630">
        <v>861</v>
      </c>
      <c r="E630">
        <v>681</v>
      </c>
      <c r="F630">
        <v>398</v>
      </c>
    </row>
    <row r="631" spans="1:6" x14ac:dyDescent="0.2">
      <c r="A631">
        <v>20200727</v>
      </c>
      <c r="B631" t="s">
        <v>96</v>
      </c>
      <c r="C631" t="s">
        <v>9</v>
      </c>
      <c r="D631">
        <v>441</v>
      </c>
      <c r="E631">
        <v>351</v>
      </c>
      <c r="F631">
        <v>220</v>
      </c>
    </row>
    <row r="632" spans="1:6" x14ac:dyDescent="0.2">
      <c r="A632">
        <v>20200727</v>
      </c>
      <c r="B632" t="s">
        <v>117</v>
      </c>
      <c r="C632" t="s">
        <v>9</v>
      </c>
      <c r="D632">
        <v>134</v>
      </c>
      <c r="E632">
        <v>134</v>
      </c>
      <c r="F632">
        <v>111</v>
      </c>
    </row>
    <row r="633" spans="1:6" x14ac:dyDescent="0.2">
      <c r="A633">
        <v>20200727</v>
      </c>
      <c r="B633" t="s">
        <v>162</v>
      </c>
      <c r="C633" t="s">
        <v>9</v>
      </c>
      <c r="D633">
        <v>131</v>
      </c>
      <c r="E633">
        <v>131</v>
      </c>
      <c r="F633">
        <v>88</v>
      </c>
    </row>
    <row r="634" spans="1:6" x14ac:dyDescent="0.2">
      <c r="A634">
        <v>20200727</v>
      </c>
      <c r="B634" t="s">
        <v>13</v>
      </c>
      <c r="C634" t="s">
        <v>7</v>
      </c>
      <c r="D634">
        <v>1852</v>
      </c>
      <c r="E634">
        <v>1852</v>
      </c>
      <c r="F634">
        <v>1342</v>
      </c>
    </row>
    <row r="635" spans="1:6" x14ac:dyDescent="0.2">
      <c r="A635">
        <v>20200727</v>
      </c>
      <c r="B635" t="s">
        <v>13</v>
      </c>
      <c r="C635" t="s">
        <v>9</v>
      </c>
      <c r="D635">
        <v>2411</v>
      </c>
      <c r="E635">
        <v>2411</v>
      </c>
      <c r="F635">
        <v>1897</v>
      </c>
    </row>
    <row r="636" spans="1:6" x14ac:dyDescent="0.2">
      <c r="A636">
        <v>20200727</v>
      </c>
      <c r="B636" t="s">
        <v>23</v>
      </c>
      <c r="C636" t="s">
        <v>9</v>
      </c>
      <c r="D636">
        <v>2462</v>
      </c>
      <c r="E636">
        <v>2462</v>
      </c>
      <c r="F636">
        <v>1488</v>
      </c>
    </row>
    <row r="637" spans="1:6" x14ac:dyDescent="0.2">
      <c r="A637">
        <v>20200727</v>
      </c>
      <c r="B637" t="s">
        <v>122</v>
      </c>
      <c r="C637" t="s">
        <v>9</v>
      </c>
      <c r="D637">
        <v>593</v>
      </c>
      <c r="E637">
        <v>593</v>
      </c>
      <c r="F637">
        <v>445</v>
      </c>
    </row>
    <row r="638" spans="1:6" x14ac:dyDescent="0.2">
      <c r="A638">
        <v>20200727</v>
      </c>
      <c r="B638" t="s">
        <v>100</v>
      </c>
      <c r="C638" t="s">
        <v>7</v>
      </c>
      <c r="D638">
        <v>2</v>
      </c>
      <c r="E638">
        <v>2</v>
      </c>
      <c r="F638">
        <v>1</v>
      </c>
    </row>
    <row r="639" spans="1:6" x14ac:dyDescent="0.2">
      <c r="A639">
        <v>20200727</v>
      </c>
      <c r="B639" t="s">
        <v>100</v>
      </c>
      <c r="C639" t="s">
        <v>9</v>
      </c>
      <c r="D639">
        <v>1517</v>
      </c>
      <c r="E639">
        <v>1517</v>
      </c>
      <c r="F639">
        <v>946</v>
      </c>
    </row>
    <row r="640" spans="1:6" x14ac:dyDescent="0.2">
      <c r="A640">
        <v>20200727</v>
      </c>
      <c r="B640" t="s">
        <v>86</v>
      </c>
      <c r="C640" t="s">
        <v>7</v>
      </c>
      <c r="D640">
        <v>1945</v>
      </c>
      <c r="E640">
        <v>36</v>
      </c>
      <c r="F640">
        <v>31</v>
      </c>
    </row>
    <row r="641" spans="1:6" x14ac:dyDescent="0.2">
      <c r="A641">
        <v>20200727</v>
      </c>
      <c r="B641" t="s">
        <v>86</v>
      </c>
      <c r="C641" t="s">
        <v>9</v>
      </c>
      <c r="D641">
        <v>2012</v>
      </c>
      <c r="E641">
        <v>39</v>
      </c>
      <c r="F641">
        <v>39</v>
      </c>
    </row>
    <row r="642" spans="1:6" x14ac:dyDescent="0.2">
      <c r="A642">
        <v>20200727</v>
      </c>
      <c r="B642" t="s">
        <v>140</v>
      </c>
      <c r="C642" t="s">
        <v>7</v>
      </c>
      <c r="D642">
        <v>12</v>
      </c>
      <c r="E642">
        <v>5</v>
      </c>
      <c r="F642">
        <v>2</v>
      </c>
    </row>
    <row r="643" spans="1:6" x14ac:dyDescent="0.2">
      <c r="A643">
        <v>20200727</v>
      </c>
      <c r="B643" t="s">
        <v>140</v>
      </c>
      <c r="C643" t="s">
        <v>9</v>
      </c>
      <c r="D643">
        <v>52</v>
      </c>
      <c r="E643">
        <v>28</v>
      </c>
      <c r="F643">
        <v>22</v>
      </c>
    </row>
    <row r="644" spans="1:6" x14ac:dyDescent="0.2">
      <c r="A644">
        <v>20200727</v>
      </c>
      <c r="B644" t="s">
        <v>80</v>
      </c>
      <c r="C644" t="s">
        <v>9</v>
      </c>
      <c r="D644">
        <v>284</v>
      </c>
      <c r="E644">
        <v>284</v>
      </c>
      <c r="F644">
        <v>220</v>
      </c>
    </row>
    <row r="645" spans="1:6" x14ac:dyDescent="0.2">
      <c r="A645">
        <v>20200727</v>
      </c>
      <c r="B645" t="s">
        <v>54</v>
      </c>
      <c r="C645" t="s">
        <v>9</v>
      </c>
      <c r="D645">
        <v>34</v>
      </c>
      <c r="E645">
        <v>23</v>
      </c>
      <c r="F645">
        <v>10</v>
      </c>
    </row>
    <row r="646" spans="1:6" x14ac:dyDescent="0.2">
      <c r="A646">
        <v>20200727</v>
      </c>
      <c r="B646" t="s">
        <v>92</v>
      </c>
      <c r="C646" t="s">
        <v>9</v>
      </c>
      <c r="D646">
        <v>2</v>
      </c>
      <c r="E646">
        <v>2</v>
      </c>
      <c r="F646">
        <v>0</v>
      </c>
    </row>
    <row r="647" spans="1:6" x14ac:dyDescent="0.2">
      <c r="A647">
        <v>20200727</v>
      </c>
      <c r="B647" t="s">
        <v>75</v>
      </c>
      <c r="C647" t="s">
        <v>9</v>
      </c>
      <c r="D647">
        <v>74</v>
      </c>
      <c r="E647">
        <v>74</v>
      </c>
      <c r="F647">
        <v>50</v>
      </c>
    </row>
    <row r="648" spans="1:6" x14ac:dyDescent="0.2">
      <c r="A648">
        <v>20200727</v>
      </c>
      <c r="B648" t="s">
        <v>103</v>
      </c>
      <c r="C648" t="s">
        <v>9</v>
      </c>
      <c r="D648">
        <v>56</v>
      </c>
      <c r="E648">
        <v>56</v>
      </c>
      <c r="F648">
        <v>46</v>
      </c>
    </row>
    <row r="649" spans="1:6" x14ac:dyDescent="0.2">
      <c r="A649">
        <v>20200727</v>
      </c>
      <c r="B649" t="s">
        <v>141</v>
      </c>
      <c r="C649" t="s">
        <v>9</v>
      </c>
      <c r="D649">
        <v>2080</v>
      </c>
      <c r="E649">
        <v>1523</v>
      </c>
      <c r="F649">
        <v>748</v>
      </c>
    </row>
    <row r="650" spans="1:6" x14ac:dyDescent="0.2">
      <c r="A650">
        <v>20200727</v>
      </c>
      <c r="B650" t="s">
        <v>114</v>
      </c>
      <c r="C650" t="s">
        <v>9</v>
      </c>
      <c r="D650">
        <v>447</v>
      </c>
      <c r="E650">
        <v>447</v>
      </c>
      <c r="F650">
        <v>312</v>
      </c>
    </row>
    <row r="651" spans="1:6" x14ac:dyDescent="0.2">
      <c r="A651">
        <v>20200727</v>
      </c>
      <c r="B651" t="s">
        <v>78</v>
      </c>
      <c r="C651" t="s">
        <v>7</v>
      </c>
      <c r="D651">
        <v>1547</v>
      </c>
      <c r="E651">
        <v>1547</v>
      </c>
      <c r="F651">
        <v>865</v>
      </c>
    </row>
    <row r="652" spans="1:6" x14ac:dyDescent="0.2">
      <c r="A652">
        <v>20200727</v>
      </c>
      <c r="B652" t="s">
        <v>78</v>
      </c>
      <c r="C652" t="s">
        <v>9</v>
      </c>
      <c r="D652">
        <v>537</v>
      </c>
      <c r="E652">
        <v>537</v>
      </c>
      <c r="F652">
        <v>286</v>
      </c>
    </row>
    <row r="653" spans="1:6" x14ac:dyDescent="0.2">
      <c r="A653">
        <v>20200727</v>
      </c>
      <c r="B653" t="s">
        <v>83</v>
      </c>
      <c r="C653" t="s">
        <v>9</v>
      </c>
      <c r="D653">
        <v>24</v>
      </c>
      <c r="E653">
        <v>24</v>
      </c>
      <c r="F653">
        <v>11</v>
      </c>
    </row>
    <row r="654" spans="1:6" x14ac:dyDescent="0.2">
      <c r="A654">
        <v>20200727</v>
      </c>
      <c r="B654" t="s">
        <v>104</v>
      </c>
      <c r="C654" t="s">
        <v>7</v>
      </c>
      <c r="D654">
        <v>1121</v>
      </c>
      <c r="E654">
        <v>1121</v>
      </c>
      <c r="F654">
        <v>635</v>
      </c>
    </row>
    <row r="655" spans="1:6" x14ac:dyDescent="0.2">
      <c r="A655">
        <v>20200727</v>
      </c>
      <c r="B655" t="s">
        <v>104</v>
      </c>
      <c r="C655" t="s">
        <v>9</v>
      </c>
      <c r="D655">
        <v>1550</v>
      </c>
      <c r="E655">
        <v>1550</v>
      </c>
      <c r="F655">
        <v>883</v>
      </c>
    </row>
    <row r="656" spans="1:6" x14ac:dyDescent="0.2">
      <c r="A656">
        <v>20200727</v>
      </c>
      <c r="B656" t="s">
        <v>125</v>
      </c>
      <c r="C656" t="s">
        <v>9</v>
      </c>
      <c r="D656">
        <v>142</v>
      </c>
      <c r="E656">
        <v>142</v>
      </c>
      <c r="F656">
        <v>100</v>
      </c>
    </row>
    <row r="657" spans="1:6" x14ac:dyDescent="0.2">
      <c r="A657">
        <v>20200727</v>
      </c>
      <c r="B657" t="s">
        <v>81</v>
      </c>
      <c r="C657" t="s">
        <v>7</v>
      </c>
      <c r="D657">
        <v>685</v>
      </c>
      <c r="E657">
        <v>4</v>
      </c>
      <c r="F657">
        <v>3</v>
      </c>
    </row>
    <row r="658" spans="1:6" x14ac:dyDescent="0.2">
      <c r="A658">
        <v>20200727</v>
      </c>
      <c r="B658" t="s">
        <v>81</v>
      </c>
      <c r="C658" t="s">
        <v>9</v>
      </c>
      <c r="D658">
        <v>770</v>
      </c>
      <c r="E658">
        <v>3</v>
      </c>
      <c r="F658">
        <v>2</v>
      </c>
    </row>
    <row r="659" spans="1:6" x14ac:dyDescent="0.2">
      <c r="A659">
        <v>20200727</v>
      </c>
      <c r="B659" t="s">
        <v>14</v>
      </c>
      <c r="C659" t="s">
        <v>9</v>
      </c>
      <c r="D659">
        <v>132</v>
      </c>
      <c r="E659">
        <v>132</v>
      </c>
      <c r="F659">
        <v>104</v>
      </c>
    </row>
    <row r="660" spans="1:6" x14ac:dyDescent="0.2">
      <c r="A660">
        <v>20200727</v>
      </c>
      <c r="B660" t="s">
        <v>146</v>
      </c>
      <c r="C660" t="s">
        <v>9</v>
      </c>
      <c r="D660">
        <v>506</v>
      </c>
      <c r="E660">
        <v>361</v>
      </c>
      <c r="F660">
        <v>179</v>
      </c>
    </row>
    <row r="661" spans="1:6" x14ac:dyDescent="0.2">
      <c r="A661">
        <v>20200727</v>
      </c>
      <c r="B661" t="s">
        <v>48</v>
      </c>
      <c r="C661" t="s">
        <v>9</v>
      </c>
      <c r="D661">
        <v>224</v>
      </c>
      <c r="E661">
        <v>224</v>
      </c>
      <c r="F661">
        <v>143</v>
      </c>
    </row>
    <row r="662" spans="1:6" x14ac:dyDescent="0.2">
      <c r="A662">
        <v>20200727</v>
      </c>
      <c r="B662" t="s">
        <v>115</v>
      </c>
      <c r="C662" t="s">
        <v>9</v>
      </c>
      <c r="D662">
        <v>20</v>
      </c>
      <c r="E662">
        <v>20</v>
      </c>
      <c r="F662">
        <v>15</v>
      </c>
    </row>
    <row r="663" spans="1:6" x14ac:dyDescent="0.2">
      <c r="A663">
        <v>20200727</v>
      </c>
      <c r="B663" t="s">
        <v>93</v>
      </c>
      <c r="C663" t="s">
        <v>7</v>
      </c>
      <c r="D663">
        <v>5268</v>
      </c>
      <c r="E663">
        <v>5268</v>
      </c>
      <c r="F663">
        <v>4081</v>
      </c>
    </row>
    <row r="664" spans="1:6" x14ac:dyDescent="0.2">
      <c r="A664">
        <v>20200727</v>
      </c>
      <c r="B664" t="s">
        <v>93</v>
      </c>
      <c r="C664" t="s">
        <v>9</v>
      </c>
      <c r="D664">
        <v>2348</v>
      </c>
      <c r="E664">
        <v>2348</v>
      </c>
      <c r="F664">
        <v>1889</v>
      </c>
    </row>
    <row r="665" spans="1:6" x14ac:dyDescent="0.2">
      <c r="A665">
        <v>20200727</v>
      </c>
      <c r="B665" t="s">
        <v>163</v>
      </c>
      <c r="C665" t="s">
        <v>9</v>
      </c>
      <c r="D665">
        <v>2</v>
      </c>
      <c r="E665">
        <v>0</v>
      </c>
      <c r="F665">
        <v>0</v>
      </c>
    </row>
    <row r="666" spans="1:6" x14ac:dyDescent="0.2">
      <c r="A666">
        <v>20200727</v>
      </c>
      <c r="B666" t="s">
        <v>30</v>
      </c>
      <c r="C666" t="s">
        <v>9</v>
      </c>
      <c r="D666">
        <v>66</v>
      </c>
      <c r="E666">
        <v>66</v>
      </c>
      <c r="F666">
        <v>40</v>
      </c>
    </row>
    <row r="667" spans="1:6" x14ac:dyDescent="0.2">
      <c r="A667">
        <v>20200727</v>
      </c>
      <c r="B667" t="s">
        <v>22</v>
      </c>
      <c r="C667" t="s">
        <v>7</v>
      </c>
      <c r="D667">
        <v>8810</v>
      </c>
      <c r="E667">
        <v>8810</v>
      </c>
      <c r="F667">
        <v>6856</v>
      </c>
    </row>
    <row r="668" spans="1:6" x14ac:dyDescent="0.2">
      <c r="A668">
        <v>20200727</v>
      </c>
      <c r="B668" t="s">
        <v>22</v>
      </c>
      <c r="C668" t="s">
        <v>9</v>
      </c>
      <c r="D668">
        <v>5443</v>
      </c>
      <c r="E668">
        <v>5443</v>
      </c>
      <c r="F668">
        <v>4371</v>
      </c>
    </row>
    <row r="669" spans="1:6" x14ac:dyDescent="0.2">
      <c r="A669">
        <v>20200727</v>
      </c>
      <c r="B669" t="s">
        <v>15</v>
      </c>
      <c r="C669" t="s">
        <v>9</v>
      </c>
      <c r="D669">
        <v>118</v>
      </c>
      <c r="E669">
        <v>118</v>
      </c>
      <c r="F669">
        <v>82</v>
      </c>
    </row>
    <row r="670" spans="1:6" x14ac:dyDescent="0.2">
      <c r="A670">
        <v>20200727</v>
      </c>
      <c r="B670" t="s">
        <v>55</v>
      </c>
      <c r="C670" t="s">
        <v>9</v>
      </c>
      <c r="D670">
        <v>1422</v>
      </c>
      <c r="E670">
        <v>1422</v>
      </c>
      <c r="F670">
        <v>1035</v>
      </c>
    </row>
    <row r="671" spans="1:6" x14ac:dyDescent="0.2">
      <c r="A671">
        <v>20200727</v>
      </c>
      <c r="B671" t="s">
        <v>111</v>
      </c>
      <c r="C671" t="s">
        <v>9</v>
      </c>
      <c r="D671">
        <v>322</v>
      </c>
      <c r="E671">
        <v>322</v>
      </c>
      <c r="F671">
        <v>206</v>
      </c>
    </row>
    <row r="672" spans="1:6" x14ac:dyDescent="0.2">
      <c r="A672">
        <v>20200727</v>
      </c>
      <c r="C672" t="s">
        <v>7</v>
      </c>
      <c r="D672">
        <v>21577</v>
      </c>
      <c r="E672">
        <v>0</v>
      </c>
      <c r="F672">
        <v>0</v>
      </c>
    </row>
    <row r="673" spans="1:6" x14ac:dyDescent="0.2">
      <c r="A673">
        <v>20200727</v>
      </c>
      <c r="C673" t="s">
        <v>9</v>
      </c>
      <c r="D673">
        <v>20255</v>
      </c>
      <c r="E673">
        <v>0</v>
      </c>
      <c r="F673">
        <v>0</v>
      </c>
    </row>
    <row r="674" spans="1:6" x14ac:dyDescent="0.2">
      <c r="A674">
        <v>20200728</v>
      </c>
      <c r="B674" t="s">
        <v>124</v>
      </c>
      <c r="C674" t="s">
        <v>9</v>
      </c>
      <c r="D674">
        <v>486</v>
      </c>
      <c r="E674">
        <v>367</v>
      </c>
      <c r="F674">
        <v>139</v>
      </c>
    </row>
    <row r="675" spans="1:6" x14ac:dyDescent="0.2">
      <c r="A675">
        <v>20200728</v>
      </c>
      <c r="B675" t="s">
        <v>82</v>
      </c>
      <c r="C675" t="s">
        <v>7</v>
      </c>
      <c r="D675">
        <v>4722</v>
      </c>
      <c r="E675">
        <v>4722</v>
      </c>
      <c r="F675">
        <v>2548</v>
      </c>
    </row>
    <row r="676" spans="1:6" x14ac:dyDescent="0.2">
      <c r="A676">
        <v>20200728</v>
      </c>
      <c r="B676" t="s">
        <v>82</v>
      </c>
      <c r="C676" t="s">
        <v>9</v>
      </c>
      <c r="D676">
        <v>2058</v>
      </c>
      <c r="E676">
        <v>2058</v>
      </c>
      <c r="F676">
        <v>1189</v>
      </c>
    </row>
    <row r="677" spans="1:6" x14ac:dyDescent="0.2">
      <c r="A677">
        <v>20200728</v>
      </c>
      <c r="B677" t="s">
        <v>94</v>
      </c>
      <c r="C677" t="s">
        <v>9</v>
      </c>
      <c r="D677">
        <v>95</v>
      </c>
      <c r="E677">
        <v>95</v>
      </c>
      <c r="F677">
        <v>57</v>
      </c>
    </row>
    <row r="678" spans="1:6" x14ac:dyDescent="0.2">
      <c r="A678">
        <v>20200728</v>
      </c>
      <c r="B678" t="s">
        <v>45</v>
      </c>
      <c r="C678" t="s">
        <v>7</v>
      </c>
      <c r="D678">
        <v>1509</v>
      </c>
      <c r="E678">
        <v>1</v>
      </c>
      <c r="F678">
        <v>1</v>
      </c>
    </row>
    <row r="679" spans="1:6" x14ac:dyDescent="0.2">
      <c r="A679">
        <v>20200728</v>
      </c>
      <c r="B679" t="s">
        <v>45</v>
      </c>
      <c r="C679" t="s">
        <v>9</v>
      </c>
      <c r="D679">
        <v>1656</v>
      </c>
      <c r="E679">
        <v>3</v>
      </c>
      <c r="F679">
        <v>0</v>
      </c>
    </row>
    <row r="680" spans="1:6" x14ac:dyDescent="0.2">
      <c r="A680">
        <v>20200728</v>
      </c>
      <c r="B680" t="s">
        <v>69</v>
      </c>
      <c r="C680" t="s">
        <v>7</v>
      </c>
      <c r="D680">
        <v>573</v>
      </c>
      <c r="E680">
        <v>2</v>
      </c>
      <c r="F680">
        <v>2</v>
      </c>
    </row>
    <row r="681" spans="1:6" x14ac:dyDescent="0.2">
      <c r="A681">
        <v>20200728</v>
      </c>
      <c r="B681" t="s">
        <v>69</v>
      </c>
      <c r="C681" t="s">
        <v>9</v>
      </c>
      <c r="D681">
        <v>553</v>
      </c>
      <c r="E681">
        <v>3</v>
      </c>
      <c r="F681">
        <v>2</v>
      </c>
    </row>
    <row r="682" spans="1:6" x14ac:dyDescent="0.2">
      <c r="A682">
        <v>20200728</v>
      </c>
      <c r="B682" t="s">
        <v>123</v>
      </c>
      <c r="C682" t="s">
        <v>7</v>
      </c>
      <c r="D682">
        <v>1405</v>
      </c>
      <c r="E682">
        <v>4</v>
      </c>
      <c r="F682">
        <v>3</v>
      </c>
    </row>
    <row r="683" spans="1:6" x14ac:dyDescent="0.2">
      <c r="A683">
        <v>20200728</v>
      </c>
      <c r="B683" t="s">
        <v>123</v>
      </c>
      <c r="C683" t="s">
        <v>9</v>
      </c>
      <c r="D683">
        <v>1376</v>
      </c>
      <c r="E683">
        <v>3</v>
      </c>
      <c r="F683">
        <v>1</v>
      </c>
    </row>
    <row r="684" spans="1:6" x14ac:dyDescent="0.2">
      <c r="A684">
        <v>20200728</v>
      </c>
      <c r="B684" t="s">
        <v>101</v>
      </c>
      <c r="C684" t="s">
        <v>7</v>
      </c>
      <c r="D684">
        <v>1571</v>
      </c>
      <c r="E684">
        <v>3</v>
      </c>
      <c r="F684">
        <v>3</v>
      </c>
    </row>
    <row r="685" spans="1:6" x14ac:dyDescent="0.2">
      <c r="A685">
        <v>20200728</v>
      </c>
      <c r="B685" t="s">
        <v>101</v>
      </c>
      <c r="C685" t="s">
        <v>9</v>
      </c>
      <c r="D685">
        <v>1495</v>
      </c>
      <c r="E685">
        <v>5</v>
      </c>
      <c r="F685">
        <v>1</v>
      </c>
    </row>
    <row r="686" spans="1:6" x14ac:dyDescent="0.2">
      <c r="A686">
        <v>20200728</v>
      </c>
      <c r="B686" t="s">
        <v>31</v>
      </c>
      <c r="C686" t="s">
        <v>9</v>
      </c>
      <c r="D686">
        <v>99</v>
      </c>
      <c r="E686">
        <v>66</v>
      </c>
      <c r="F686">
        <v>12</v>
      </c>
    </row>
    <row r="687" spans="1:6" x14ac:dyDescent="0.2">
      <c r="A687">
        <v>20200728</v>
      </c>
      <c r="B687" t="s">
        <v>11</v>
      </c>
      <c r="C687" t="s">
        <v>7</v>
      </c>
      <c r="D687">
        <v>12041</v>
      </c>
      <c r="E687">
        <v>1</v>
      </c>
      <c r="F687">
        <v>0</v>
      </c>
    </row>
    <row r="688" spans="1:6" x14ac:dyDescent="0.2">
      <c r="A688">
        <v>20200728</v>
      </c>
      <c r="B688" t="s">
        <v>11</v>
      </c>
      <c r="C688" t="s">
        <v>9</v>
      </c>
      <c r="D688">
        <v>12097</v>
      </c>
      <c r="E688">
        <v>3</v>
      </c>
      <c r="F688">
        <v>2</v>
      </c>
    </row>
    <row r="689" spans="1:6" x14ac:dyDescent="0.2">
      <c r="A689">
        <v>20200728</v>
      </c>
      <c r="B689" t="s">
        <v>16</v>
      </c>
      <c r="C689" t="s">
        <v>7</v>
      </c>
      <c r="D689">
        <v>533</v>
      </c>
      <c r="E689">
        <v>533</v>
      </c>
      <c r="F689">
        <v>351</v>
      </c>
    </row>
    <row r="690" spans="1:6" x14ac:dyDescent="0.2">
      <c r="A690">
        <v>20200728</v>
      </c>
      <c r="B690" t="s">
        <v>16</v>
      </c>
      <c r="C690" t="s">
        <v>9</v>
      </c>
      <c r="D690">
        <v>380</v>
      </c>
      <c r="E690">
        <v>380</v>
      </c>
      <c r="F690">
        <v>268</v>
      </c>
    </row>
    <row r="691" spans="1:6" x14ac:dyDescent="0.2">
      <c r="A691">
        <v>20200728</v>
      </c>
      <c r="B691" t="s">
        <v>120</v>
      </c>
      <c r="C691" t="s">
        <v>9</v>
      </c>
      <c r="D691">
        <v>2</v>
      </c>
      <c r="E691">
        <v>1</v>
      </c>
      <c r="F691">
        <v>1</v>
      </c>
    </row>
    <row r="692" spans="1:6" x14ac:dyDescent="0.2">
      <c r="A692">
        <v>20200728</v>
      </c>
      <c r="B692" t="s">
        <v>6</v>
      </c>
      <c r="C692" t="s">
        <v>7</v>
      </c>
      <c r="D692">
        <v>931</v>
      </c>
      <c r="E692">
        <v>429</v>
      </c>
      <c r="F692">
        <v>268</v>
      </c>
    </row>
    <row r="693" spans="1:6" x14ac:dyDescent="0.2">
      <c r="A693">
        <v>20200728</v>
      </c>
      <c r="B693" t="s">
        <v>6</v>
      </c>
      <c r="C693" t="s">
        <v>9</v>
      </c>
      <c r="D693">
        <v>6124</v>
      </c>
      <c r="E693">
        <v>2543</v>
      </c>
      <c r="F693">
        <v>1658</v>
      </c>
    </row>
    <row r="694" spans="1:6" x14ac:dyDescent="0.2">
      <c r="A694">
        <v>20200728</v>
      </c>
      <c r="B694" t="s">
        <v>41</v>
      </c>
      <c r="C694" t="s">
        <v>7</v>
      </c>
      <c r="D694">
        <v>3585</v>
      </c>
      <c r="E694">
        <v>2273</v>
      </c>
      <c r="F694">
        <v>843</v>
      </c>
    </row>
    <row r="695" spans="1:6" x14ac:dyDescent="0.2">
      <c r="A695">
        <v>20200728</v>
      </c>
      <c r="B695" t="s">
        <v>41</v>
      </c>
      <c r="C695" t="s">
        <v>9</v>
      </c>
      <c r="D695">
        <v>3109</v>
      </c>
      <c r="E695">
        <v>1797</v>
      </c>
      <c r="F695">
        <v>894</v>
      </c>
    </row>
    <row r="696" spans="1:6" x14ac:dyDescent="0.2">
      <c r="A696">
        <v>20200728</v>
      </c>
      <c r="B696" t="s">
        <v>51</v>
      </c>
      <c r="C696" t="s">
        <v>9</v>
      </c>
      <c r="D696">
        <v>478</v>
      </c>
      <c r="E696">
        <v>478</v>
      </c>
      <c r="F696">
        <v>233</v>
      </c>
    </row>
    <row r="697" spans="1:6" x14ac:dyDescent="0.2">
      <c r="A697">
        <v>20200728</v>
      </c>
      <c r="B697" t="s">
        <v>27</v>
      </c>
      <c r="C697" t="s">
        <v>9</v>
      </c>
      <c r="D697">
        <v>142</v>
      </c>
      <c r="E697">
        <v>142</v>
      </c>
      <c r="F697">
        <v>81</v>
      </c>
    </row>
    <row r="698" spans="1:6" x14ac:dyDescent="0.2">
      <c r="A698">
        <v>20200728</v>
      </c>
      <c r="B698" t="s">
        <v>142</v>
      </c>
      <c r="C698" t="s">
        <v>7</v>
      </c>
      <c r="D698">
        <v>637</v>
      </c>
      <c r="E698">
        <v>493</v>
      </c>
      <c r="F698">
        <v>219</v>
      </c>
    </row>
    <row r="699" spans="1:6" x14ac:dyDescent="0.2">
      <c r="A699">
        <v>20200728</v>
      </c>
      <c r="B699" t="s">
        <v>142</v>
      </c>
      <c r="C699" t="s">
        <v>9</v>
      </c>
      <c r="D699">
        <v>474</v>
      </c>
      <c r="E699">
        <v>342</v>
      </c>
      <c r="F699">
        <v>146</v>
      </c>
    </row>
    <row r="700" spans="1:6" x14ac:dyDescent="0.2">
      <c r="A700">
        <v>20200728</v>
      </c>
      <c r="B700" t="s">
        <v>73</v>
      </c>
      <c r="C700" t="s">
        <v>7</v>
      </c>
      <c r="D700">
        <v>4</v>
      </c>
      <c r="E700">
        <v>4</v>
      </c>
      <c r="F700">
        <v>1</v>
      </c>
    </row>
    <row r="701" spans="1:6" x14ac:dyDescent="0.2">
      <c r="A701">
        <v>20200728</v>
      </c>
      <c r="B701" t="s">
        <v>73</v>
      </c>
      <c r="C701" t="s">
        <v>9</v>
      </c>
      <c r="D701">
        <v>119</v>
      </c>
      <c r="E701">
        <v>119</v>
      </c>
      <c r="F701">
        <v>44</v>
      </c>
    </row>
    <row r="702" spans="1:6" x14ac:dyDescent="0.2">
      <c r="A702">
        <v>20200728</v>
      </c>
      <c r="B702" t="s">
        <v>61</v>
      </c>
      <c r="C702" t="s">
        <v>9</v>
      </c>
      <c r="D702">
        <v>2</v>
      </c>
      <c r="E702">
        <v>2</v>
      </c>
      <c r="F702">
        <v>2</v>
      </c>
    </row>
    <row r="703" spans="1:6" x14ac:dyDescent="0.2">
      <c r="A703">
        <v>20200728</v>
      </c>
      <c r="B703" t="s">
        <v>20</v>
      </c>
      <c r="C703" t="s">
        <v>7</v>
      </c>
      <c r="D703">
        <v>220</v>
      </c>
      <c r="E703">
        <v>121</v>
      </c>
      <c r="F703">
        <v>57</v>
      </c>
    </row>
    <row r="704" spans="1:6" x14ac:dyDescent="0.2">
      <c r="A704">
        <v>20200728</v>
      </c>
      <c r="B704" t="s">
        <v>20</v>
      </c>
      <c r="C704" t="s">
        <v>9</v>
      </c>
      <c r="D704">
        <v>799</v>
      </c>
      <c r="E704">
        <v>423</v>
      </c>
      <c r="F704">
        <v>197</v>
      </c>
    </row>
    <row r="705" spans="1:6" x14ac:dyDescent="0.2">
      <c r="A705">
        <v>20200728</v>
      </c>
      <c r="B705" t="s">
        <v>21</v>
      </c>
      <c r="C705" t="s">
        <v>7</v>
      </c>
      <c r="D705">
        <v>2174</v>
      </c>
      <c r="E705">
        <v>56</v>
      </c>
      <c r="F705">
        <v>38</v>
      </c>
    </row>
    <row r="706" spans="1:6" x14ac:dyDescent="0.2">
      <c r="A706">
        <v>20200728</v>
      </c>
      <c r="B706" t="s">
        <v>21</v>
      </c>
      <c r="C706" t="s">
        <v>9</v>
      </c>
      <c r="D706">
        <v>2205</v>
      </c>
      <c r="E706">
        <v>78</v>
      </c>
      <c r="F706">
        <v>44</v>
      </c>
    </row>
    <row r="707" spans="1:6" x14ac:dyDescent="0.2">
      <c r="A707">
        <v>20200728</v>
      </c>
      <c r="B707" t="s">
        <v>49</v>
      </c>
      <c r="C707" t="s">
        <v>7</v>
      </c>
      <c r="D707">
        <v>6</v>
      </c>
      <c r="E707">
        <v>3</v>
      </c>
      <c r="F707">
        <v>1</v>
      </c>
    </row>
    <row r="708" spans="1:6" x14ac:dyDescent="0.2">
      <c r="A708">
        <v>20200728</v>
      </c>
      <c r="B708" t="s">
        <v>49</v>
      </c>
      <c r="C708" t="s">
        <v>9</v>
      </c>
      <c r="D708">
        <v>2</v>
      </c>
      <c r="E708">
        <v>1</v>
      </c>
      <c r="F708">
        <v>1</v>
      </c>
    </row>
    <row r="709" spans="1:6" x14ac:dyDescent="0.2">
      <c r="A709">
        <v>20200728</v>
      </c>
      <c r="B709" t="s">
        <v>56</v>
      </c>
      <c r="C709" t="s">
        <v>9</v>
      </c>
      <c r="D709">
        <v>25</v>
      </c>
      <c r="E709">
        <v>25</v>
      </c>
      <c r="F709">
        <v>20</v>
      </c>
    </row>
    <row r="710" spans="1:6" x14ac:dyDescent="0.2">
      <c r="A710">
        <v>20200728</v>
      </c>
      <c r="B710" t="s">
        <v>38</v>
      </c>
      <c r="C710" t="s">
        <v>7</v>
      </c>
      <c r="D710">
        <v>3270</v>
      </c>
      <c r="E710">
        <v>3270</v>
      </c>
      <c r="F710">
        <v>1842</v>
      </c>
    </row>
    <row r="711" spans="1:6" x14ac:dyDescent="0.2">
      <c r="A711">
        <v>20200728</v>
      </c>
      <c r="B711" t="s">
        <v>38</v>
      </c>
      <c r="C711" t="s">
        <v>9</v>
      </c>
      <c r="D711">
        <v>2788</v>
      </c>
      <c r="E711">
        <v>2788</v>
      </c>
      <c r="F711">
        <v>1552</v>
      </c>
    </row>
    <row r="712" spans="1:6" x14ac:dyDescent="0.2">
      <c r="A712">
        <v>20200728</v>
      </c>
      <c r="B712" t="s">
        <v>57</v>
      </c>
      <c r="C712" t="s">
        <v>7</v>
      </c>
      <c r="D712">
        <v>72</v>
      </c>
      <c r="E712">
        <v>54</v>
      </c>
      <c r="F712">
        <v>26</v>
      </c>
    </row>
    <row r="713" spans="1:6" x14ac:dyDescent="0.2">
      <c r="A713">
        <v>20200728</v>
      </c>
      <c r="B713" t="s">
        <v>57</v>
      </c>
      <c r="C713" t="s">
        <v>9</v>
      </c>
      <c r="D713">
        <v>29</v>
      </c>
      <c r="E713">
        <v>24</v>
      </c>
      <c r="F713">
        <v>12</v>
      </c>
    </row>
    <row r="714" spans="1:6" x14ac:dyDescent="0.2">
      <c r="A714">
        <v>20200728</v>
      </c>
      <c r="B714" t="s">
        <v>72</v>
      </c>
      <c r="C714" t="s">
        <v>7</v>
      </c>
      <c r="D714">
        <v>28</v>
      </c>
      <c r="E714">
        <v>28</v>
      </c>
      <c r="F714">
        <v>21</v>
      </c>
    </row>
    <row r="715" spans="1:6" x14ac:dyDescent="0.2">
      <c r="A715">
        <v>20200728</v>
      </c>
      <c r="B715" t="s">
        <v>72</v>
      </c>
      <c r="C715" t="s">
        <v>9</v>
      </c>
      <c r="D715">
        <v>523</v>
      </c>
      <c r="E715">
        <v>523</v>
      </c>
      <c r="F715">
        <v>390</v>
      </c>
    </row>
    <row r="716" spans="1:6" x14ac:dyDescent="0.2">
      <c r="A716">
        <v>20200728</v>
      </c>
      <c r="B716" t="s">
        <v>28</v>
      </c>
      <c r="C716" t="s">
        <v>9</v>
      </c>
      <c r="D716">
        <v>101</v>
      </c>
      <c r="E716">
        <v>101</v>
      </c>
      <c r="F716">
        <v>75</v>
      </c>
    </row>
    <row r="717" spans="1:6" x14ac:dyDescent="0.2">
      <c r="A717">
        <v>20200728</v>
      </c>
      <c r="B717" t="s">
        <v>66</v>
      </c>
      <c r="C717" t="s">
        <v>7</v>
      </c>
      <c r="D717">
        <v>6</v>
      </c>
      <c r="E717">
        <v>5</v>
      </c>
      <c r="F717">
        <v>2</v>
      </c>
    </row>
    <row r="718" spans="1:6" x14ac:dyDescent="0.2">
      <c r="A718">
        <v>20200728</v>
      </c>
      <c r="B718" t="s">
        <v>66</v>
      </c>
      <c r="C718" t="s">
        <v>9</v>
      </c>
      <c r="D718">
        <v>9</v>
      </c>
      <c r="E718">
        <v>5</v>
      </c>
      <c r="F718">
        <v>2</v>
      </c>
    </row>
    <row r="719" spans="1:6" x14ac:dyDescent="0.2">
      <c r="A719">
        <v>20200728</v>
      </c>
      <c r="B719" t="s">
        <v>44</v>
      </c>
      <c r="C719" t="s">
        <v>9</v>
      </c>
      <c r="D719">
        <v>2</v>
      </c>
      <c r="E719">
        <v>2</v>
      </c>
      <c r="F719">
        <v>2</v>
      </c>
    </row>
    <row r="720" spans="1:6" x14ac:dyDescent="0.2">
      <c r="A720">
        <v>20200728</v>
      </c>
      <c r="B720" t="s">
        <v>97</v>
      </c>
      <c r="C720" t="s">
        <v>9</v>
      </c>
      <c r="D720">
        <v>10</v>
      </c>
      <c r="E720">
        <v>3</v>
      </c>
      <c r="F720">
        <v>3</v>
      </c>
    </row>
    <row r="721" spans="1:6" x14ac:dyDescent="0.2">
      <c r="A721">
        <v>20200728</v>
      </c>
      <c r="B721" t="s">
        <v>76</v>
      </c>
      <c r="C721" t="s">
        <v>7</v>
      </c>
      <c r="D721">
        <v>756</v>
      </c>
      <c r="E721">
        <v>756</v>
      </c>
      <c r="F721">
        <v>574</v>
      </c>
    </row>
    <row r="722" spans="1:6" x14ac:dyDescent="0.2">
      <c r="A722">
        <v>20200728</v>
      </c>
      <c r="B722" t="s">
        <v>76</v>
      </c>
      <c r="C722" t="s">
        <v>9</v>
      </c>
      <c r="D722">
        <v>601</v>
      </c>
      <c r="E722">
        <v>601</v>
      </c>
      <c r="F722">
        <v>480</v>
      </c>
    </row>
    <row r="723" spans="1:6" x14ac:dyDescent="0.2">
      <c r="A723">
        <v>20200728</v>
      </c>
      <c r="B723" t="s">
        <v>62</v>
      </c>
      <c r="C723" t="s">
        <v>9</v>
      </c>
      <c r="D723">
        <v>505</v>
      </c>
      <c r="E723">
        <v>345</v>
      </c>
      <c r="F723">
        <v>177</v>
      </c>
    </row>
    <row r="724" spans="1:6" x14ac:dyDescent="0.2">
      <c r="A724">
        <v>20200728</v>
      </c>
      <c r="B724" t="s">
        <v>79</v>
      </c>
      <c r="C724" t="s">
        <v>9</v>
      </c>
      <c r="D724">
        <v>2</v>
      </c>
      <c r="E724">
        <v>2</v>
      </c>
      <c r="F724">
        <v>0</v>
      </c>
    </row>
    <row r="725" spans="1:6" x14ac:dyDescent="0.2">
      <c r="A725">
        <v>20200728</v>
      </c>
      <c r="B725" t="s">
        <v>53</v>
      </c>
      <c r="C725" t="s">
        <v>9</v>
      </c>
      <c r="D725">
        <v>73</v>
      </c>
      <c r="E725">
        <v>73</v>
      </c>
      <c r="F725">
        <v>52</v>
      </c>
    </row>
    <row r="726" spans="1:6" x14ac:dyDescent="0.2">
      <c r="A726">
        <v>20200728</v>
      </c>
      <c r="B726" t="s">
        <v>95</v>
      </c>
      <c r="C726" t="s">
        <v>7</v>
      </c>
      <c r="D726">
        <v>604</v>
      </c>
      <c r="E726">
        <v>604</v>
      </c>
      <c r="F726">
        <v>340</v>
      </c>
    </row>
    <row r="727" spans="1:6" x14ac:dyDescent="0.2">
      <c r="A727">
        <v>20200728</v>
      </c>
      <c r="B727" t="s">
        <v>95</v>
      </c>
      <c r="C727" t="s">
        <v>9</v>
      </c>
      <c r="D727">
        <v>471</v>
      </c>
      <c r="E727">
        <v>471</v>
      </c>
      <c r="F727">
        <v>291</v>
      </c>
    </row>
    <row r="728" spans="1:6" x14ac:dyDescent="0.2">
      <c r="A728">
        <v>20200728</v>
      </c>
      <c r="B728" t="s">
        <v>64</v>
      </c>
      <c r="C728" t="s">
        <v>9</v>
      </c>
      <c r="D728">
        <v>2</v>
      </c>
      <c r="E728">
        <v>2</v>
      </c>
      <c r="F728">
        <v>2</v>
      </c>
    </row>
    <row r="729" spans="1:6" x14ac:dyDescent="0.2">
      <c r="A729">
        <v>20200728</v>
      </c>
      <c r="B729" t="s">
        <v>74</v>
      </c>
      <c r="C729" t="s">
        <v>9</v>
      </c>
      <c r="D729">
        <v>440</v>
      </c>
      <c r="E729">
        <v>440</v>
      </c>
      <c r="F729">
        <v>175</v>
      </c>
    </row>
    <row r="730" spans="1:6" x14ac:dyDescent="0.2">
      <c r="A730">
        <v>20200728</v>
      </c>
      <c r="B730" t="s">
        <v>85</v>
      </c>
      <c r="C730" t="s">
        <v>9</v>
      </c>
      <c r="D730">
        <v>3</v>
      </c>
      <c r="E730">
        <v>1</v>
      </c>
      <c r="F730">
        <v>1</v>
      </c>
    </row>
    <row r="731" spans="1:6" x14ac:dyDescent="0.2">
      <c r="A731">
        <v>20200728</v>
      </c>
      <c r="B731" t="s">
        <v>102</v>
      </c>
      <c r="C731" t="s">
        <v>9</v>
      </c>
      <c r="D731">
        <v>1371</v>
      </c>
      <c r="E731">
        <v>1371</v>
      </c>
      <c r="F731">
        <v>669</v>
      </c>
    </row>
    <row r="732" spans="1:6" x14ac:dyDescent="0.2">
      <c r="A732">
        <v>20200728</v>
      </c>
      <c r="B732" t="s">
        <v>58</v>
      </c>
      <c r="C732" t="s">
        <v>9</v>
      </c>
      <c r="D732">
        <v>606</v>
      </c>
      <c r="E732">
        <v>505</v>
      </c>
      <c r="F732">
        <v>257</v>
      </c>
    </row>
    <row r="733" spans="1:6" x14ac:dyDescent="0.2">
      <c r="A733">
        <v>20200728</v>
      </c>
      <c r="B733" t="s">
        <v>96</v>
      </c>
      <c r="C733" t="s">
        <v>9</v>
      </c>
      <c r="D733">
        <v>1</v>
      </c>
      <c r="E733">
        <v>1</v>
      </c>
      <c r="F733">
        <v>0</v>
      </c>
    </row>
    <row r="734" spans="1:6" x14ac:dyDescent="0.2">
      <c r="A734">
        <v>20200728</v>
      </c>
      <c r="B734" t="s">
        <v>117</v>
      </c>
      <c r="C734" t="s">
        <v>9</v>
      </c>
      <c r="D734">
        <v>108</v>
      </c>
      <c r="E734">
        <v>108</v>
      </c>
      <c r="F734">
        <v>84</v>
      </c>
    </row>
    <row r="735" spans="1:6" x14ac:dyDescent="0.2">
      <c r="A735">
        <v>20200728</v>
      </c>
      <c r="B735" t="s">
        <v>162</v>
      </c>
      <c r="C735" t="s">
        <v>9</v>
      </c>
      <c r="D735">
        <v>62</v>
      </c>
      <c r="E735">
        <v>62</v>
      </c>
      <c r="F735">
        <v>44</v>
      </c>
    </row>
    <row r="736" spans="1:6" x14ac:dyDescent="0.2">
      <c r="A736">
        <v>20200728</v>
      </c>
      <c r="B736" t="s">
        <v>13</v>
      </c>
      <c r="C736" t="s">
        <v>7</v>
      </c>
      <c r="D736">
        <v>1368</v>
      </c>
      <c r="E736">
        <v>1368</v>
      </c>
      <c r="F736">
        <v>1016</v>
      </c>
    </row>
    <row r="737" spans="1:6" x14ac:dyDescent="0.2">
      <c r="A737">
        <v>20200728</v>
      </c>
      <c r="B737" t="s">
        <v>13</v>
      </c>
      <c r="C737" t="s">
        <v>9</v>
      </c>
      <c r="D737">
        <v>2007</v>
      </c>
      <c r="E737">
        <v>2007</v>
      </c>
      <c r="F737">
        <v>1542</v>
      </c>
    </row>
    <row r="738" spans="1:6" x14ac:dyDescent="0.2">
      <c r="A738">
        <v>20200728</v>
      </c>
      <c r="B738" t="s">
        <v>23</v>
      </c>
      <c r="C738" t="s">
        <v>7</v>
      </c>
      <c r="D738">
        <v>13</v>
      </c>
      <c r="E738">
        <v>13</v>
      </c>
      <c r="F738">
        <v>7</v>
      </c>
    </row>
    <row r="739" spans="1:6" x14ac:dyDescent="0.2">
      <c r="A739">
        <v>20200728</v>
      </c>
      <c r="B739" t="s">
        <v>23</v>
      </c>
      <c r="C739" t="s">
        <v>9</v>
      </c>
      <c r="D739">
        <v>2348</v>
      </c>
      <c r="E739">
        <v>2348</v>
      </c>
      <c r="F739">
        <v>1412</v>
      </c>
    </row>
    <row r="740" spans="1:6" x14ac:dyDescent="0.2">
      <c r="A740">
        <v>20200728</v>
      </c>
      <c r="B740" t="s">
        <v>122</v>
      </c>
      <c r="C740" t="s">
        <v>9</v>
      </c>
      <c r="D740">
        <v>539</v>
      </c>
      <c r="E740">
        <v>539</v>
      </c>
      <c r="F740">
        <v>400</v>
      </c>
    </row>
    <row r="741" spans="1:6" x14ac:dyDescent="0.2">
      <c r="A741">
        <v>20200728</v>
      </c>
      <c r="B741" t="s">
        <v>32</v>
      </c>
      <c r="C741" t="s">
        <v>9</v>
      </c>
      <c r="D741">
        <v>3</v>
      </c>
      <c r="E741">
        <v>2</v>
      </c>
      <c r="F741">
        <v>2</v>
      </c>
    </row>
    <row r="742" spans="1:6" x14ac:dyDescent="0.2">
      <c r="A742">
        <v>20200728</v>
      </c>
      <c r="B742" t="s">
        <v>100</v>
      </c>
      <c r="C742" t="s">
        <v>7</v>
      </c>
      <c r="D742">
        <v>75</v>
      </c>
      <c r="E742">
        <v>75</v>
      </c>
      <c r="F742">
        <v>47</v>
      </c>
    </row>
    <row r="743" spans="1:6" x14ac:dyDescent="0.2">
      <c r="A743">
        <v>20200728</v>
      </c>
      <c r="B743" t="s">
        <v>100</v>
      </c>
      <c r="C743" t="s">
        <v>9</v>
      </c>
      <c r="D743">
        <v>1184</v>
      </c>
      <c r="E743">
        <v>1184</v>
      </c>
      <c r="F743">
        <v>741</v>
      </c>
    </row>
    <row r="744" spans="1:6" x14ac:dyDescent="0.2">
      <c r="A744">
        <v>20200728</v>
      </c>
      <c r="B744" t="s">
        <v>112</v>
      </c>
      <c r="C744" t="s">
        <v>9</v>
      </c>
      <c r="D744">
        <v>5</v>
      </c>
      <c r="E744">
        <v>2</v>
      </c>
      <c r="F744">
        <v>2</v>
      </c>
    </row>
    <row r="745" spans="1:6" x14ac:dyDescent="0.2">
      <c r="A745">
        <v>20200728</v>
      </c>
      <c r="B745" t="s">
        <v>86</v>
      </c>
      <c r="C745" t="s">
        <v>9</v>
      </c>
      <c r="D745">
        <v>202</v>
      </c>
      <c r="E745">
        <v>171</v>
      </c>
      <c r="F745">
        <v>133</v>
      </c>
    </row>
    <row r="746" spans="1:6" x14ac:dyDescent="0.2">
      <c r="A746">
        <v>20200728</v>
      </c>
      <c r="B746" t="s">
        <v>140</v>
      </c>
      <c r="C746" t="s">
        <v>9</v>
      </c>
      <c r="D746">
        <v>27</v>
      </c>
      <c r="E746">
        <v>13</v>
      </c>
      <c r="F746">
        <v>11</v>
      </c>
    </row>
    <row r="747" spans="1:6" x14ac:dyDescent="0.2">
      <c r="A747">
        <v>20200728</v>
      </c>
      <c r="B747" t="s">
        <v>80</v>
      </c>
      <c r="C747" t="s">
        <v>9</v>
      </c>
      <c r="D747">
        <v>30</v>
      </c>
      <c r="E747">
        <v>30</v>
      </c>
      <c r="F747">
        <v>22</v>
      </c>
    </row>
    <row r="748" spans="1:6" x14ac:dyDescent="0.2">
      <c r="A748">
        <v>20200728</v>
      </c>
      <c r="B748" t="s">
        <v>26</v>
      </c>
      <c r="C748" t="s">
        <v>9</v>
      </c>
      <c r="D748">
        <v>2</v>
      </c>
      <c r="E748">
        <v>1</v>
      </c>
      <c r="F748">
        <v>1</v>
      </c>
    </row>
    <row r="749" spans="1:6" x14ac:dyDescent="0.2">
      <c r="A749">
        <v>20200728</v>
      </c>
      <c r="B749" t="s">
        <v>59</v>
      </c>
      <c r="C749" t="s">
        <v>9</v>
      </c>
      <c r="D749">
        <v>1</v>
      </c>
      <c r="E749">
        <v>1</v>
      </c>
      <c r="F749">
        <v>1</v>
      </c>
    </row>
    <row r="750" spans="1:6" x14ac:dyDescent="0.2">
      <c r="A750">
        <v>20200728</v>
      </c>
      <c r="B750" t="s">
        <v>134</v>
      </c>
      <c r="C750" t="s">
        <v>9</v>
      </c>
      <c r="D750">
        <v>193</v>
      </c>
      <c r="E750">
        <v>145</v>
      </c>
      <c r="F750">
        <v>68</v>
      </c>
    </row>
    <row r="751" spans="1:6" x14ac:dyDescent="0.2">
      <c r="A751">
        <v>20200728</v>
      </c>
      <c r="B751" t="s">
        <v>75</v>
      </c>
      <c r="C751" t="s">
        <v>9</v>
      </c>
      <c r="D751">
        <v>83</v>
      </c>
      <c r="E751">
        <v>83</v>
      </c>
      <c r="F751">
        <v>63</v>
      </c>
    </row>
    <row r="752" spans="1:6" x14ac:dyDescent="0.2">
      <c r="A752">
        <v>20200728</v>
      </c>
      <c r="B752" t="s">
        <v>8</v>
      </c>
      <c r="C752" t="s">
        <v>9</v>
      </c>
      <c r="D752">
        <v>3</v>
      </c>
      <c r="E752">
        <v>2</v>
      </c>
      <c r="F752">
        <v>2</v>
      </c>
    </row>
    <row r="753" spans="1:6" x14ac:dyDescent="0.2">
      <c r="A753">
        <v>20200728</v>
      </c>
      <c r="B753" t="s">
        <v>103</v>
      </c>
      <c r="C753" t="s">
        <v>9</v>
      </c>
      <c r="D753">
        <v>15</v>
      </c>
      <c r="E753">
        <v>15</v>
      </c>
      <c r="F753">
        <v>13</v>
      </c>
    </row>
    <row r="754" spans="1:6" x14ac:dyDescent="0.2">
      <c r="A754">
        <v>20200728</v>
      </c>
      <c r="B754" t="s">
        <v>109</v>
      </c>
      <c r="C754" t="s">
        <v>9</v>
      </c>
      <c r="D754">
        <v>5</v>
      </c>
      <c r="E754">
        <v>2</v>
      </c>
      <c r="F754">
        <v>2</v>
      </c>
    </row>
    <row r="755" spans="1:6" x14ac:dyDescent="0.2">
      <c r="A755">
        <v>20200728</v>
      </c>
      <c r="B755" t="s">
        <v>141</v>
      </c>
      <c r="C755" t="s">
        <v>9</v>
      </c>
      <c r="D755">
        <v>99</v>
      </c>
      <c r="E755">
        <v>67</v>
      </c>
      <c r="F755">
        <v>28</v>
      </c>
    </row>
    <row r="756" spans="1:6" x14ac:dyDescent="0.2">
      <c r="A756">
        <v>20200728</v>
      </c>
      <c r="B756" t="s">
        <v>60</v>
      </c>
      <c r="C756" t="s">
        <v>9</v>
      </c>
      <c r="D756">
        <v>5</v>
      </c>
      <c r="E756">
        <v>2</v>
      </c>
      <c r="F756">
        <v>2</v>
      </c>
    </row>
    <row r="757" spans="1:6" x14ac:dyDescent="0.2">
      <c r="A757">
        <v>20200728</v>
      </c>
      <c r="B757" t="s">
        <v>78</v>
      </c>
      <c r="C757" t="s">
        <v>7</v>
      </c>
      <c r="D757">
        <v>1071</v>
      </c>
      <c r="E757">
        <v>1071</v>
      </c>
      <c r="F757">
        <v>560</v>
      </c>
    </row>
    <row r="758" spans="1:6" x14ac:dyDescent="0.2">
      <c r="A758">
        <v>20200728</v>
      </c>
      <c r="B758" t="s">
        <v>78</v>
      </c>
      <c r="C758" t="s">
        <v>9</v>
      </c>
      <c r="D758">
        <v>429</v>
      </c>
      <c r="E758">
        <v>429</v>
      </c>
      <c r="F758">
        <v>216</v>
      </c>
    </row>
    <row r="759" spans="1:6" x14ac:dyDescent="0.2">
      <c r="A759">
        <v>20200728</v>
      </c>
      <c r="B759" t="s">
        <v>83</v>
      </c>
      <c r="C759" t="s">
        <v>7</v>
      </c>
      <c r="D759">
        <v>197</v>
      </c>
      <c r="E759">
        <v>197</v>
      </c>
      <c r="F759">
        <v>100</v>
      </c>
    </row>
    <row r="760" spans="1:6" x14ac:dyDescent="0.2">
      <c r="A760">
        <v>20200728</v>
      </c>
      <c r="B760" t="s">
        <v>83</v>
      </c>
      <c r="C760" t="s">
        <v>9</v>
      </c>
      <c r="D760">
        <v>263</v>
      </c>
      <c r="E760">
        <v>263</v>
      </c>
      <c r="F760">
        <v>159</v>
      </c>
    </row>
    <row r="761" spans="1:6" x14ac:dyDescent="0.2">
      <c r="A761">
        <v>20200728</v>
      </c>
      <c r="B761" t="s">
        <v>104</v>
      </c>
      <c r="C761" t="s">
        <v>7</v>
      </c>
      <c r="D761">
        <v>899</v>
      </c>
      <c r="E761">
        <v>899</v>
      </c>
      <c r="F761">
        <v>495</v>
      </c>
    </row>
    <row r="762" spans="1:6" x14ac:dyDescent="0.2">
      <c r="A762">
        <v>20200728</v>
      </c>
      <c r="B762" t="s">
        <v>104</v>
      </c>
      <c r="C762" t="s">
        <v>9</v>
      </c>
      <c r="D762">
        <v>1174</v>
      </c>
      <c r="E762">
        <v>1174</v>
      </c>
      <c r="F762">
        <v>665</v>
      </c>
    </row>
    <row r="763" spans="1:6" x14ac:dyDescent="0.2">
      <c r="A763">
        <v>20200728</v>
      </c>
      <c r="B763" t="s">
        <v>125</v>
      </c>
      <c r="C763" t="s">
        <v>9</v>
      </c>
      <c r="D763">
        <v>116</v>
      </c>
      <c r="E763">
        <v>116</v>
      </c>
      <c r="F763">
        <v>85</v>
      </c>
    </row>
    <row r="764" spans="1:6" x14ac:dyDescent="0.2">
      <c r="A764">
        <v>20200728</v>
      </c>
      <c r="B764" t="s">
        <v>81</v>
      </c>
      <c r="C764" t="s">
        <v>7</v>
      </c>
      <c r="D764">
        <v>531</v>
      </c>
      <c r="E764">
        <v>1</v>
      </c>
      <c r="F764">
        <v>0</v>
      </c>
    </row>
    <row r="765" spans="1:6" x14ac:dyDescent="0.2">
      <c r="A765">
        <v>20200728</v>
      </c>
      <c r="B765" t="s">
        <v>81</v>
      </c>
      <c r="C765" t="s">
        <v>9</v>
      </c>
      <c r="D765">
        <v>546</v>
      </c>
      <c r="E765">
        <v>0</v>
      </c>
      <c r="F765">
        <v>0</v>
      </c>
    </row>
    <row r="766" spans="1:6" x14ac:dyDescent="0.2">
      <c r="A766">
        <v>20200728</v>
      </c>
      <c r="B766" t="s">
        <v>14</v>
      </c>
      <c r="C766" t="s">
        <v>9</v>
      </c>
      <c r="D766">
        <v>271</v>
      </c>
      <c r="E766">
        <v>271</v>
      </c>
      <c r="F766">
        <v>223</v>
      </c>
    </row>
    <row r="767" spans="1:6" x14ac:dyDescent="0.2">
      <c r="A767">
        <v>20200728</v>
      </c>
      <c r="B767" t="s">
        <v>146</v>
      </c>
      <c r="C767" t="s">
        <v>9</v>
      </c>
      <c r="D767">
        <v>4</v>
      </c>
      <c r="E767">
        <v>1</v>
      </c>
      <c r="F767">
        <v>1</v>
      </c>
    </row>
    <row r="768" spans="1:6" x14ac:dyDescent="0.2">
      <c r="A768">
        <v>20200728</v>
      </c>
      <c r="B768" t="s">
        <v>48</v>
      </c>
      <c r="C768" t="s">
        <v>9</v>
      </c>
      <c r="D768">
        <v>1733</v>
      </c>
      <c r="E768">
        <v>1733</v>
      </c>
      <c r="F768">
        <v>1152</v>
      </c>
    </row>
    <row r="769" spans="1:6" x14ac:dyDescent="0.2">
      <c r="A769">
        <v>20200728</v>
      </c>
      <c r="B769" t="s">
        <v>24</v>
      </c>
      <c r="C769" t="s">
        <v>9</v>
      </c>
      <c r="D769">
        <v>756</v>
      </c>
      <c r="E769">
        <v>471</v>
      </c>
      <c r="F769">
        <v>48</v>
      </c>
    </row>
    <row r="770" spans="1:6" x14ac:dyDescent="0.2">
      <c r="A770">
        <v>20200728</v>
      </c>
      <c r="B770" t="s">
        <v>93</v>
      </c>
      <c r="C770" t="s">
        <v>7</v>
      </c>
      <c r="D770">
        <v>3582</v>
      </c>
      <c r="E770">
        <v>3582</v>
      </c>
      <c r="F770">
        <v>2777</v>
      </c>
    </row>
    <row r="771" spans="1:6" x14ac:dyDescent="0.2">
      <c r="A771">
        <v>20200728</v>
      </c>
      <c r="B771" t="s">
        <v>93</v>
      </c>
      <c r="C771" t="s">
        <v>9</v>
      </c>
      <c r="D771">
        <v>1721</v>
      </c>
      <c r="E771">
        <v>1721</v>
      </c>
      <c r="F771">
        <v>1383</v>
      </c>
    </row>
    <row r="772" spans="1:6" x14ac:dyDescent="0.2">
      <c r="A772">
        <v>20200728</v>
      </c>
      <c r="B772" t="s">
        <v>30</v>
      </c>
      <c r="C772" t="s">
        <v>9</v>
      </c>
      <c r="D772">
        <v>74</v>
      </c>
      <c r="E772">
        <v>74</v>
      </c>
      <c r="F772">
        <v>52</v>
      </c>
    </row>
    <row r="773" spans="1:6" x14ac:dyDescent="0.2">
      <c r="A773">
        <v>20200728</v>
      </c>
      <c r="B773" t="s">
        <v>67</v>
      </c>
      <c r="C773" t="s">
        <v>9</v>
      </c>
      <c r="D773">
        <v>6</v>
      </c>
      <c r="E773">
        <v>2</v>
      </c>
      <c r="F773">
        <v>2</v>
      </c>
    </row>
    <row r="774" spans="1:6" x14ac:dyDescent="0.2">
      <c r="A774">
        <v>20200728</v>
      </c>
      <c r="B774" t="s">
        <v>22</v>
      </c>
      <c r="C774" t="s">
        <v>7</v>
      </c>
      <c r="D774">
        <v>7305</v>
      </c>
      <c r="E774">
        <v>7305</v>
      </c>
      <c r="F774">
        <v>5601</v>
      </c>
    </row>
    <row r="775" spans="1:6" x14ac:dyDescent="0.2">
      <c r="A775">
        <v>20200728</v>
      </c>
      <c r="B775" t="s">
        <v>22</v>
      </c>
      <c r="C775" t="s">
        <v>9</v>
      </c>
      <c r="D775">
        <v>4753</v>
      </c>
      <c r="E775">
        <v>4753</v>
      </c>
      <c r="F775">
        <v>3801</v>
      </c>
    </row>
    <row r="776" spans="1:6" x14ac:dyDescent="0.2">
      <c r="A776">
        <v>20200728</v>
      </c>
      <c r="B776" t="s">
        <v>55</v>
      </c>
      <c r="C776" t="s">
        <v>9</v>
      </c>
      <c r="D776">
        <v>1728</v>
      </c>
      <c r="E776">
        <v>1727</v>
      </c>
      <c r="F776">
        <v>1234</v>
      </c>
    </row>
    <row r="777" spans="1:6" x14ac:dyDescent="0.2">
      <c r="A777">
        <v>20200728</v>
      </c>
      <c r="B777" t="s">
        <v>10</v>
      </c>
      <c r="C777" t="s">
        <v>9</v>
      </c>
      <c r="D777">
        <v>1</v>
      </c>
      <c r="E777">
        <v>1</v>
      </c>
      <c r="F777">
        <v>1</v>
      </c>
    </row>
    <row r="778" spans="1:6" x14ac:dyDescent="0.2">
      <c r="A778">
        <v>20200728</v>
      </c>
      <c r="B778" t="s">
        <v>111</v>
      </c>
      <c r="C778" t="s">
        <v>9</v>
      </c>
      <c r="D778">
        <v>331</v>
      </c>
      <c r="E778">
        <v>331</v>
      </c>
      <c r="F778">
        <v>225</v>
      </c>
    </row>
    <row r="779" spans="1:6" x14ac:dyDescent="0.2">
      <c r="A779">
        <v>20200728</v>
      </c>
      <c r="C779" t="s">
        <v>7</v>
      </c>
      <c r="D779">
        <v>14136</v>
      </c>
      <c r="E779">
        <v>0</v>
      </c>
      <c r="F779">
        <v>0</v>
      </c>
    </row>
    <row r="780" spans="1:6" x14ac:dyDescent="0.2">
      <c r="A780">
        <v>20200728</v>
      </c>
      <c r="C780" t="s">
        <v>9</v>
      </c>
      <c r="D780">
        <v>16016</v>
      </c>
      <c r="E780">
        <v>0</v>
      </c>
      <c r="F780">
        <v>0</v>
      </c>
    </row>
    <row r="781" spans="1:6" x14ac:dyDescent="0.2">
      <c r="A781">
        <v>20200729</v>
      </c>
      <c r="B781" t="s">
        <v>124</v>
      </c>
      <c r="C781" t="s">
        <v>9</v>
      </c>
      <c r="D781">
        <v>420</v>
      </c>
      <c r="E781">
        <v>299</v>
      </c>
      <c r="F781">
        <v>100</v>
      </c>
    </row>
    <row r="782" spans="1:6" x14ac:dyDescent="0.2">
      <c r="A782">
        <v>20200729</v>
      </c>
      <c r="B782" t="s">
        <v>82</v>
      </c>
      <c r="C782" t="s">
        <v>7</v>
      </c>
      <c r="D782">
        <v>6661</v>
      </c>
      <c r="E782">
        <v>6661</v>
      </c>
      <c r="F782">
        <v>3639</v>
      </c>
    </row>
    <row r="783" spans="1:6" x14ac:dyDescent="0.2">
      <c r="A783">
        <v>20200729</v>
      </c>
      <c r="B783" t="s">
        <v>82</v>
      </c>
      <c r="C783" t="s">
        <v>9</v>
      </c>
      <c r="D783">
        <v>2626</v>
      </c>
      <c r="E783">
        <v>2626</v>
      </c>
      <c r="F783">
        <v>1491</v>
      </c>
    </row>
    <row r="784" spans="1:6" x14ac:dyDescent="0.2">
      <c r="A784">
        <v>20200729</v>
      </c>
      <c r="B784" t="s">
        <v>132</v>
      </c>
      <c r="C784" t="s">
        <v>7</v>
      </c>
      <c r="D784">
        <v>4</v>
      </c>
      <c r="E784">
        <v>4</v>
      </c>
      <c r="F784">
        <v>3</v>
      </c>
    </row>
    <row r="785" spans="1:6" x14ac:dyDescent="0.2">
      <c r="A785">
        <v>20200729</v>
      </c>
      <c r="B785" t="s">
        <v>132</v>
      </c>
      <c r="C785" t="s">
        <v>9</v>
      </c>
      <c r="D785">
        <v>307</v>
      </c>
      <c r="E785">
        <v>307</v>
      </c>
      <c r="F785">
        <v>176</v>
      </c>
    </row>
    <row r="786" spans="1:6" x14ac:dyDescent="0.2">
      <c r="A786">
        <v>20200729</v>
      </c>
      <c r="B786" t="s">
        <v>34</v>
      </c>
      <c r="C786" t="s">
        <v>7</v>
      </c>
      <c r="D786">
        <v>11997</v>
      </c>
      <c r="E786">
        <v>8321</v>
      </c>
      <c r="F786">
        <v>4485</v>
      </c>
    </row>
    <row r="787" spans="1:6" x14ac:dyDescent="0.2">
      <c r="A787">
        <v>20200729</v>
      </c>
      <c r="B787" t="s">
        <v>34</v>
      </c>
      <c r="C787" t="s">
        <v>9</v>
      </c>
      <c r="D787">
        <v>9936</v>
      </c>
      <c r="E787">
        <v>6612</v>
      </c>
      <c r="F787">
        <v>3650</v>
      </c>
    </row>
    <row r="788" spans="1:6" x14ac:dyDescent="0.2">
      <c r="A788">
        <v>20200729</v>
      </c>
      <c r="B788" t="s">
        <v>94</v>
      </c>
      <c r="C788" t="s">
        <v>9</v>
      </c>
      <c r="D788">
        <v>118</v>
      </c>
      <c r="E788">
        <v>118</v>
      </c>
      <c r="F788">
        <v>79</v>
      </c>
    </row>
    <row r="789" spans="1:6" x14ac:dyDescent="0.2">
      <c r="A789">
        <v>20200729</v>
      </c>
      <c r="B789" t="s">
        <v>45</v>
      </c>
      <c r="C789" t="s">
        <v>7</v>
      </c>
      <c r="D789">
        <v>1518</v>
      </c>
      <c r="E789">
        <v>4</v>
      </c>
      <c r="F789">
        <v>1</v>
      </c>
    </row>
    <row r="790" spans="1:6" x14ac:dyDescent="0.2">
      <c r="A790">
        <v>20200729</v>
      </c>
      <c r="B790" t="s">
        <v>45</v>
      </c>
      <c r="C790" t="s">
        <v>9</v>
      </c>
      <c r="D790">
        <v>1542</v>
      </c>
      <c r="E790">
        <v>6</v>
      </c>
      <c r="F790">
        <v>0</v>
      </c>
    </row>
    <row r="791" spans="1:6" x14ac:dyDescent="0.2">
      <c r="A791">
        <v>20200729</v>
      </c>
      <c r="B791" t="s">
        <v>69</v>
      </c>
      <c r="C791" t="s">
        <v>7</v>
      </c>
      <c r="D791">
        <v>691</v>
      </c>
      <c r="E791">
        <v>1</v>
      </c>
      <c r="F791">
        <v>0</v>
      </c>
    </row>
    <row r="792" spans="1:6" x14ac:dyDescent="0.2">
      <c r="A792">
        <v>20200729</v>
      </c>
      <c r="B792" t="s">
        <v>69</v>
      </c>
      <c r="C792" t="s">
        <v>9</v>
      </c>
      <c r="D792">
        <v>715</v>
      </c>
      <c r="E792">
        <v>8</v>
      </c>
      <c r="F792">
        <v>5</v>
      </c>
    </row>
    <row r="793" spans="1:6" x14ac:dyDescent="0.2">
      <c r="A793">
        <v>20200729</v>
      </c>
      <c r="B793" t="s">
        <v>123</v>
      </c>
      <c r="C793" t="s">
        <v>7</v>
      </c>
      <c r="D793">
        <v>1144</v>
      </c>
      <c r="E793">
        <v>1</v>
      </c>
      <c r="F793">
        <v>0</v>
      </c>
    </row>
    <row r="794" spans="1:6" x14ac:dyDescent="0.2">
      <c r="A794">
        <v>20200729</v>
      </c>
      <c r="B794" t="s">
        <v>123</v>
      </c>
      <c r="C794" t="s">
        <v>9</v>
      </c>
      <c r="D794">
        <v>1143</v>
      </c>
      <c r="E794">
        <v>3</v>
      </c>
      <c r="F794">
        <v>3</v>
      </c>
    </row>
    <row r="795" spans="1:6" x14ac:dyDescent="0.2">
      <c r="A795">
        <v>20200729</v>
      </c>
      <c r="B795" t="s">
        <v>101</v>
      </c>
      <c r="C795" t="s">
        <v>7</v>
      </c>
      <c r="D795">
        <v>1373</v>
      </c>
      <c r="E795">
        <v>1</v>
      </c>
      <c r="F795">
        <v>0</v>
      </c>
    </row>
    <row r="796" spans="1:6" x14ac:dyDescent="0.2">
      <c r="A796">
        <v>20200729</v>
      </c>
      <c r="B796" t="s">
        <v>101</v>
      </c>
      <c r="C796" t="s">
        <v>9</v>
      </c>
      <c r="D796">
        <v>1472</v>
      </c>
      <c r="E796">
        <v>5</v>
      </c>
      <c r="F796">
        <v>3</v>
      </c>
    </row>
    <row r="797" spans="1:6" x14ac:dyDescent="0.2">
      <c r="A797">
        <v>20200729</v>
      </c>
      <c r="B797" t="s">
        <v>31</v>
      </c>
      <c r="C797" t="s">
        <v>9</v>
      </c>
      <c r="D797">
        <v>50</v>
      </c>
      <c r="E797">
        <v>31</v>
      </c>
      <c r="F797">
        <v>6</v>
      </c>
    </row>
    <row r="798" spans="1:6" x14ac:dyDescent="0.2">
      <c r="A798">
        <v>20200729</v>
      </c>
      <c r="B798" t="s">
        <v>11</v>
      </c>
      <c r="C798" t="s">
        <v>7</v>
      </c>
      <c r="D798">
        <v>12371</v>
      </c>
      <c r="E798">
        <v>1</v>
      </c>
      <c r="F798">
        <v>0</v>
      </c>
    </row>
    <row r="799" spans="1:6" x14ac:dyDescent="0.2">
      <c r="A799">
        <v>20200729</v>
      </c>
      <c r="B799" t="s">
        <v>11</v>
      </c>
      <c r="C799" t="s">
        <v>9</v>
      </c>
      <c r="D799">
        <v>12230</v>
      </c>
      <c r="E799">
        <v>1</v>
      </c>
      <c r="F799">
        <v>0</v>
      </c>
    </row>
    <row r="800" spans="1:6" x14ac:dyDescent="0.2">
      <c r="A800">
        <v>20200729</v>
      </c>
      <c r="B800" t="s">
        <v>16</v>
      </c>
      <c r="C800" t="s">
        <v>7</v>
      </c>
      <c r="D800">
        <v>300</v>
      </c>
      <c r="E800">
        <v>300</v>
      </c>
      <c r="F800">
        <v>187</v>
      </c>
    </row>
    <row r="801" spans="1:6" x14ac:dyDescent="0.2">
      <c r="A801">
        <v>20200729</v>
      </c>
      <c r="B801" t="s">
        <v>16</v>
      </c>
      <c r="C801" t="s">
        <v>9</v>
      </c>
      <c r="D801">
        <v>259</v>
      </c>
      <c r="E801">
        <v>259</v>
      </c>
      <c r="F801">
        <v>157</v>
      </c>
    </row>
    <row r="802" spans="1:6" x14ac:dyDescent="0.2">
      <c r="A802">
        <v>20200729</v>
      </c>
      <c r="B802" t="s">
        <v>120</v>
      </c>
      <c r="C802" t="s">
        <v>9</v>
      </c>
      <c r="D802">
        <v>2</v>
      </c>
      <c r="E802">
        <v>1</v>
      </c>
      <c r="F802">
        <v>0</v>
      </c>
    </row>
    <row r="803" spans="1:6" x14ac:dyDescent="0.2">
      <c r="A803">
        <v>20200729</v>
      </c>
      <c r="B803" t="s">
        <v>6</v>
      </c>
      <c r="C803" t="s">
        <v>7</v>
      </c>
      <c r="D803">
        <v>9194</v>
      </c>
      <c r="E803">
        <v>702</v>
      </c>
      <c r="F803">
        <v>429</v>
      </c>
    </row>
    <row r="804" spans="1:6" x14ac:dyDescent="0.2">
      <c r="A804">
        <v>20200729</v>
      </c>
      <c r="B804" t="s">
        <v>6</v>
      </c>
      <c r="C804" t="s">
        <v>9</v>
      </c>
      <c r="D804">
        <v>14536</v>
      </c>
      <c r="E804">
        <v>3930</v>
      </c>
      <c r="F804">
        <v>2476</v>
      </c>
    </row>
    <row r="805" spans="1:6" x14ac:dyDescent="0.2">
      <c r="A805">
        <v>20200729</v>
      </c>
      <c r="B805" t="s">
        <v>41</v>
      </c>
      <c r="C805" t="s">
        <v>7</v>
      </c>
      <c r="D805">
        <v>819</v>
      </c>
      <c r="E805">
        <v>638</v>
      </c>
      <c r="F805">
        <v>177</v>
      </c>
    </row>
    <row r="806" spans="1:6" x14ac:dyDescent="0.2">
      <c r="A806">
        <v>20200729</v>
      </c>
      <c r="B806" t="s">
        <v>41</v>
      </c>
      <c r="C806" t="s">
        <v>9</v>
      </c>
      <c r="D806">
        <v>1169</v>
      </c>
      <c r="E806">
        <v>974</v>
      </c>
      <c r="F806">
        <v>391</v>
      </c>
    </row>
    <row r="807" spans="1:6" x14ac:dyDescent="0.2">
      <c r="A807">
        <v>20200729</v>
      </c>
      <c r="B807" t="s">
        <v>51</v>
      </c>
      <c r="C807" t="s">
        <v>9</v>
      </c>
      <c r="D807">
        <v>20</v>
      </c>
      <c r="E807">
        <v>20</v>
      </c>
      <c r="F807">
        <v>5</v>
      </c>
    </row>
    <row r="808" spans="1:6" x14ac:dyDescent="0.2">
      <c r="A808">
        <v>20200729</v>
      </c>
      <c r="B808" t="s">
        <v>27</v>
      </c>
      <c r="C808" t="s">
        <v>9</v>
      </c>
      <c r="D808">
        <v>1</v>
      </c>
      <c r="E808">
        <v>1</v>
      </c>
      <c r="F808">
        <v>1</v>
      </c>
    </row>
    <row r="809" spans="1:6" x14ac:dyDescent="0.2">
      <c r="A809">
        <v>20200729</v>
      </c>
      <c r="B809" t="s">
        <v>142</v>
      </c>
      <c r="C809" t="s">
        <v>9</v>
      </c>
      <c r="D809">
        <v>38</v>
      </c>
      <c r="E809">
        <v>26</v>
      </c>
      <c r="F809">
        <v>11</v>
      </c>
    </row>
    <row r="810" spans="1:6" x14ac:dyDescent="0.2">
      <c r="A810">
        <v>20200729</v>
      </c>
      <c r="B810" t="s">
        <v>35</v>
      </c>
      <c r="C810" t="s">
        <v>9</v>
      </c>
      <c r="D810">
        <v>193</v>
      </c>
      <c r="E810">
        <v>193</v>
      </c>
      <c r="F810">
        <v>108</v>
      </c>
    </row>
    <row r="811" spans="1:6" x14ac:dyDescent="0.2">
      <c r="A811">
        <v>20200729</v>
      </c>
      <c r="B811" t="s">
        <v>84</v>
      </c>
      <c r="C811" t="s">
        <v>9</v>
      </c>
      <c r="D811">
        <v>653</v>
      </c>
      <c r="E811">
        <v>653</v>
      </c>
      <c r="F811">
        <v>431</v>
      </c>
    </row>
    <row r="812" spans="1:6" x14ac:dyDescent="0.2">
      <c r="A812">
        <v>20200729</v>
      </c>
      <c r="B812" t="s">
        <v>61</v>
      </c>
      <c r="C812" t="s">
        <v>9</v>
      </c>
      <c r="D812">
        <v>4</v>
      </c>
      <c r="E812">
        <v>3</v>
      </c>
      <c r="F812">
        <v>2</v>
      </c>
    </row>
    <row r="813" spans="1:6" x14ac:dyDescent="0.2">
      <c r="A813">
        <v>20200729</v>
      </c>
      <c r="B813" t="s">
        <v>20</v>
      </c>
      <c r="C813" t="s">
        <v>7</v>
      </c>
      <c r="D813">
        <v>232</v>
      </c>
      <c r="E813">
        <v>148</v>
      </c>
      <c r="F813">
        <v>74</v>
      </c>
    </row>
    <row r="814" spans="1:6" x14ac:dyDescent="0.2">
      <c r="A814">
        <v>20200729</v>
      </c>
      <c r="B814" t="s">
        <v>20</v>
      </c>
      <c r="C814" t="s">
        <v>9</v>
      </c>
      <c r="D814">
        <v>769</v>
      </c>
      <c r="E814">
        <v>469</v>
      </c>
      <c r="F814">
        <v>283</v>
      </c>
    </row>
    <row r="815" spans="1:6" x14ac:dyDescent="0.2">
      <c r="A815">
        <v>20200729</v>
      </c>
      <c r="B815" t="s">
        <v>21</v>
      </c>
      <c r="C815" t="s">
        <v>7</v>
      </c>
      <c r="D815">
        <v>93</v>
      </c>
      <c r="E815">
        <v>47</v>
      </c>
      <c r="F815">
        <v>15</v>
      </c>
    </row>
    <row r="816" spans="1:6" x14ac:dyDescent="0.2">
      <c r="A816">
        <v>20200729</v>
      </c>
      <c r="B816" t="s">
        <v>21</v>
      </c>
      <c r="C816" t="s">
        <v>9</v>
      </c>
      <c r="D816">
        <v>202</v>
      </c>
      <c r="E816">
        <v>83</v>
      </c>
      <c r="F816">
        <v>50</v>
      </c>
    </row>
    <row r="817" spans="1:6" x14ac:dyDescent="0.2">
      <c r="A817">
        <v>20200729</v>
      </c>
      <c r="B817" t="s">
        <v>38</v>
      </c>
      <c r="C817" t="s">
        <v>7</v>
      </c>
      <c r="D817">
        <v>18</v>
      </c>
      <c r="E817">
        <v>18</v>
      </c>
      <c r="F817">
        <v>7</v>
      </c>
    </row>
    <row r="818" spans="1:6" x14ac:dyDescent="0.2">
      <c r="A818">
        <v>20200729</v>
      </c>
      <c r="B818" t="s">
        <v>38</v>
      </c>
      <c r="C818" t="s">
        <v>9</v>
      </c>
      <c r="D818">
        <v>12</v>
      </c>
      <c r="E818">
        <v>12</v>
      </c>
      <c r="F818">
        <v>8</v>
      </c>
    </row>
    <row r="819" spans="1:6" x14ac:dyDescent="0.2">
      <c r="A819">
        <v>20200729</v>
      </c>
      <c r="B819" t="s">
        <v>57</v>
      </c>
      <c r="C819" t="s">
        <v>7</v>
      </c>
      <c r="D819">
        <v>1</v>
      </c>
      <c r="E819">
        <v>1</v>
      </c>
      <c r="F819">
        <v>1</v>
      </c>
    </row>
    <row r="820" spans="1:6" x14ac:dyDescent="0.2">
      <c r="A820">
        <v>20200729</v>
      </c>
      <c r="B820" t="s">
        <v>57</v>
      </c>
      <c r="C820" t="s">
        <v>9</v>
      </c>
      <c r="D820">
        <v>24</v>
      </c>
      <c r="E820">
        <v>21</v>
      </c>
      <c r="F820">
        <v>12</v>
      </c>
    </row>
    <row r="821" spans="1:6" x14ac:dyDescent="0.2">
      <c r="A821">
        <v>20200729</v>
      </c>
      <c r="B821" t="s">
        <v>25</v>
      </c>
      <c r="C821" t="s">
        <v>9</v>
      </c>
      <c r="D821">
        <v>384</v>
      </c>
      <c r="E821">
        <v>384</v>
      </c>
      <c r="F821">
        <v>300</v>
      </c>
    </row>
    <row r="822" spans="1:6" x14ac:dyDescent="0.2">
      <c r="A822">
        <v>20200729</v>
      </c>
      <c r="B822" t="s">
        <v>72</v>
      </c>
      <c r="C822" t="s">
        <v>7</v>
      </c>
      <c r="D822">
        <v>43</v>
      </c>
      <c r="E822">
        <v>43</v>
      </c>
      <c r="F822">
        <v>29</v>
      </c>
    </row>
    <row r="823" spans="1:6" x14ac:dyDescent="0.2">
      <c r="A823">
        <v>20200729</v>
      </c>
      <c r="B823" t="s">
        <v>72</v>
      </c>
      <c r="C823" t="s">
        <v>9</v>
      </c>
      <c r="D823">
        <v>428</v>
      </c>
      <c r="E823">
        <v>428</v>
      </c>
      <c r="F823">
        <v>319</v>
      </c>
    </row>
    <row r="824" spans="1:6" x14ac:dyDescent="0.2">
      <c r="A824">
        <v>20200729</v>
      </c>
      <c r="B824" t="s">
        <v>28</v>
      </c>
      <c r="C824" t="s">
        <v>9</v>
      </c>
      <c r="D824">
        <v>399</v>
      </c>
      <c r="E824">
        <v>399</v>
      </c>
      <c r="F824">
        <v>287</v>
      </c>
    </row>
    <row r="825" spans="1:6" x14ac:dyDescent="0.2">
      <c r="A825">
        <v>20200729</v>
      </c>
      <c r="B825" t="s">
        <v>66</v>
      </c>
      <c r="C825" t="s">
        <v>9</v>
      </c>
      <c r="D825">
        <v>14</v>
      </c>
      <c r="E825">
        <v>8</v>
      </c>
      <c r="F825">
        <v>3</v>
      </c>
    </row>
    <row r="826" spans="1:6" x14ac:dyDescent="0.2">
      <c r="A826">
        <v>20200729</v>
      </c>
      <c r="B826" t="s">
        <v>99</v>
      </c>
      <c r="C826" t="s">
        <v>9</v>
      </c>
      <c r="D826">
        <v>58</v>
      </c>
      <c r="E826">
        <v>58</v>
      </c>
      <c r="F826">
        <v>30</v>
      </c>
    </row>
    <row r="827" spans="1:6" x14ac:dyDescent="0.2">
      <c r="A827">
        <v>20200729</v>
      </c>
      <c r="B827" t="s">
        <v>44</v>
      </c>
      <c r="C827" t="s">
        <v>9</v>
      </c>
      <c r="D827">
        <v>2</v>
      </c>
      <c r="E827">
        <v>2</v>
      </c>
      <c r="F827">
        <v>0</v>
      </c>
    </row>
    <row r="828" spans="1:6" x14ac:dyDescent="0.2">
      <c r="A828">
        <v>20200729</v>
      </c>
      <c r="B828" t="s">
        <v>97</v>
      </c>
      <c r="C828" t="s">
        <v>9</v>
      </c>
      <c r="D828">
        <v>2</v>
      </c>
      <c r="E828">
        <v>2</v>
      </c>
      <c r="F828">
        <v>1</v>
      </c>
    </row>
    <row r="829" spans="1:6" x14ac:dyDescent="0.2">
      <c r="A829">
        <v>20200729</v>
      </c>
      <c r="B829" t="s">
        <v>153</v>
      </c>
      <c r="C829" t="s">
        <v>9</v>
      </c>
      <c r="D829">
        <v>29</v>
      </c>
      <c r="E829">
        <v>15</v>
      </c>
      <c r="F829">
        <v>6</v>
      </c>
    </row>
    <row r="830" spans="1:6" x14ac:dyDescent="0.2">
      <c r="A830">
        <v>20200729</v>
      </c>
      <c r="B830" t="s">
        <v>76</v>
      </c>
      <c r="C830" t="s">
        <v>7</v>
      </c>
      <c r="D830">
        <v>255</v>
      </c>
      <c r="E830">
        <v>255</v>
      </c>
      <c r="F830">
        <v>176</v>
      </c>
    </row>
    <row r="831" spans="1:6" x14ac:dyDescent="0.2">
      <c r="A831">
        <v>20200729</v>
      </c>
      <c r="B831" t="s">
        <v>76</v>
      </c>
      <c r="C831" t="s">
        <v>9</v>
      </c>
      <c r="D831">
        <v>354</v>
      </c>
      <c r="E831">
        <v>354</v>
      </c>
      <c r="F831">
        <v>268</v>
      </c>
    </row>
    <row r="832" spans="1:6" x14ac:dyDescent="0.2">
      <c r="A832">
        <v>20200729</v>
      </c>
      <c r="B832" t="s">
        <v>62</v>
      </c>
      <c r="C832" t="s">
        <v>9</v>
      </c>
      <c r="D832">
        <v>29</v>
      </c>
      <c r="E832">
        <v>24</v>
      </c>
      <c r="F832">
        <v>9</v>
      </c>
    </row>
    <row r="833" spans="1:6" x14ac:dyDescent="0.2">
      <c r="A833">
        <v>20200729</v>
      </c>
      <c r="B833" t="s">
        <v>53</v>
      </c>
      <c r="C833" t="s">
        <v>9</v>
      </c>
      <c r="D833">
        <v>58</v>
      </c>
      <c r="E833">
        <v>58</v>
      </c>
      <c r="F833">
        <v>35</v>
      </c>
    </row>
    <row r="834" spans="1:6" x14ac:dyDescent="0.2">
      <c r="A834">
        <v>20200729</v>
      </c>
      <c r="B834" t="s">
        <v>95</v>
      </c>
      <c r="C834" t="s">
        <v>7</v>
      </c>
      <c r="D834">
        <v>402</v>
      </c>
      <c r="E834">
        <v>402</v>
      </c>
      <c r="F834">
        <v>211</v>
      </c>
    </row>
    <row r="835" spans="1:6" x14ac:dyDescent="0.2">
      <c r="A835">
        <v>20200729</v>
      </c>
      <c r="B835" t="s">
        <v>95</v>
      </c>
      <c r="C835" t="s">
        <v>9</v>
      </c>
      <c r="D835">
        <v>381</v>
      </c>
      <c r="E835">
        <v>381</v>
      </c>
      <c r="F835">
        <v>181</v>
      </c>
    </row>
    <row r="836" spans="1:6" x14ac:dyDescent="0.2">
      <c r="A836">
        <v>20200729</v>
      </c>
      <c r="B836" t="s">
        <v>64</v>
      </c>
      <c r="C836" t="s">
        <v>9</v>
      </c>
      <c r="D836">
        <v>2</v>
      </c>
      <c r="E836">
        <v>2</v>
      </c>
      <c r="F836">
        <v>1</v>
      </c>
    </row>
    <row r="837" spans="1:6" x14ac:dyDescent="0.2">
      <c r="A837">
        <v>20200729</v>
      </c>
      <c r="B837" t="s">
        <v>85</v>
      </c>
      <c r="C837" t="s">
        <v>9</v>
      </c>
      <c r="D837">
        <v>2</v>
      </c>
      <c r="E837">
        <v>2</v>
      </c>
      <c r="F837">
        <v>0</v>
      </c>
    </row>
    <row r="838" spans="1:6" x14ac:dyDescent="0.2">
      <c r="A838">
        <v>20200729</v>
      </c>
      <c r="B838" t="s">
        <v>102</v>
      </c>
      <c r="C838" t="s">
        <v>9</v>
      </c>
      <c r="D838">
        <v>725</v>
      </c>
      <c r="E838">
        <v>725</v>
      </c>
      <c r="F838">
        <v>326</v>
      </c>
    </row>
    <row r="839" spans="1:6" x14ac:dyDescent="0.2">
      <c r="A839">
        <v>20200729</v>
      </c>
      <c r="B839" t="s">
        <v>126</v>
      </c>
      <c r="C839" t="s">
        <v>9</v>
      </c>
      <c r="D839">
        <v>1</v>
      </c>
      <c r="E839">
        <v>1</v>
      </c>
      <c r="F839">
        <v>0</v>
      </c>
    </row>
    <row r="840" spans="1:6" x14ac:dyDescent="0.2">
      <c r="A840">
        <v>20200729</v>
      </c>
      <c r="B840" t="s">
        <v>116</v>
      </c>
      <c r="C840" t="s">
        <v>9</v>
      </c>
      <c r="D840">
        <v>1</v>
      </c>
      <c r="E840">
        <v>1</v>
      </c>
      <c r="F840">
        <v>0</v>
      </c>
    </row>
    <row r="841" spans="1:6" x14ac:dyDescent="0.2">
      <c r="A841">
        <v>20200729</v>
      </c>
      <c r="B841" t="s">
        <v>58</v>
      </c>
      <c r="C841" t="s">
        <v>9</v>
      </c>
      <c r="D841">
        <v>5</v>
      </c>
      <c r="E841">
        <v>5</v>
      </c>
      <c r="F841">
        <v>4</v>
      </c>
    </row>
    <row r="842" spans="1:6" x14ac:dyDescent="0.2">
      <c r="A842">
        <v>20200729</v>
      </c>
      <c r="B842" t="s">
        <v>13</v>
      </c>
      <c r="C842" t="s">
        <v>7</v>
      </c>
      <c r="D842">
        <v>1548</v>
      </c>
      <c r="E842">
        <v>1548</v>
      </c>
      <c r="F842">
        <v>1142</v>
      </c>
    </row>
    <row r="843" spans="1:6" x14ac:dyDescent="0.2">
      <c r="A843">
        <v>20200729</v>
      </c>
      <c r="B843" t="s">
        <v>13</v>
      </c>
      <c r="C843" t="s">
        <v>9</v>
      </c>
      <c r="D843">
        <v>2164</v>
      </c>
      <c r="E843">
        <v>2164</v>
      </c>
      <c r="F843">
        <v>1627</v>
      </c>
    </row>
    <row r="844" spans="1:6" x14ac:dyDescent="0.2">
      <c r="A844">
        <v>20200729</v>
      </c>
      <c r="B844" t="s">
        <v>128</v>
      </c>
      <c r="C844" t="s">
        <v>9</v>
      </c>
      <c r="D844">
        <v>659</v>
      </c>
      <c r="E844">
        <v>474</v>
      </c>
      <c r="F844">
        <v>191</v>
      </c>
    </row>
    <row r="845" spans="1:6" x14ac:dyDescent="0.2">
      <c r="A845">
        <v>20200729</v>
      </c>
      <c r="B845" t="s">
        <v>23</v>
      </c>
      <c r="C845" t="s">
        <v>7</v>
      </c>
      <c r="D845">
        <v>12</v>
      </c>
      <c r="E845">
        <v>12</v>
      </c>
      <c r="F845">
        <v>9</v>
      </c>
    </row>
    <row r="846" spans="1:6" x14ac:dyDescent="0.2">
      <c r="A846">
        <v>20200729</v>
      </c>
      <c r="B846" t="s">
        <v>23</v>
      </c>
      <c r="C846" t="s">
        <v>9</v>
      </c>
      <c r="D846">
        <v>892</v>
      </c>
      <c r="E846">
        <v>892</v>
      </c>
      <c r="F846">
        <v>580</v>
      </c>
    </row>
    <row r="847" spans="1:6" x14ac:dyDescent="0.2">
      <c r="A847">
        <v>20200729</v>
      </c>
      <c r="B847" t="s">
        <v>122</v>
      </c>
      <c r="C847" t="s">
        <v>7</v>
      </c>
      <c r="D847">
        <v>3</v>
      </c>
      <c r="E847">
        <v>3</v>
      </c>
      <c r="F847">
        <v>2</v>
      </c>
    </row>
    <row r="848" spans="1:6" x14ac:dyDescent="0.2">
      <c r="A848">
        <v>20200729</v>
      </c>
      <c r="B848" t="s">
        <v>122</v>
      </c>
      <c r="C848" t="s">
        <v>9</v>
      </c>
      <c r="D848">
        <v>576</v>
      </c>
      <c r="E848">
        <v>576</v>
      </c>
      <c r="F848">
        <v>456</v>
      </c>
    </row>
    <row r="849" spans="1:6" x14ac:dyDescent="0.2">
      <c r="A849">
        <v>20200729</v>
      </c>
      <c r="B849" t="s">
        <v>89</v>
      </c>
      <c r="C849" t="s">
        <v>9</v>
      </c>
      <c r="D849">
        <v>1</v>
      </c>
      <c r="E849">
        <v>1</v>
      </c>
      <c r="F849">
        <v>0</v>
      </c>
    </row>
    <row r="850" spans="1:6" x14ac:dyDescent="0.2">
      <c r="A850">
        <v>20200729</v>
      </c>
      <c r="B850" t="s">
        <v>32</v>
      </c>
      <c r="C850" t="s">
        <v>9</v>
      </c>
      <c r="D850">
        <v>4</v>
      </c>
      <c r="E850">
        <v>3</v>
      </c>
      <c r="F850">
        <v>3</v>
      </c>
    </row>
    <row r="851" spans="1:6" x14ac:dyDescent="0.2">
      <c r="A851">
        <v>20200729</v>
      </c>
      <c r="B851" t="s">
        <v>100</v>
      </c>
      <c r="C851" t="s">
        <v>7</v>
      </c>
      <c r="D851">
        <v>62</v>
      </c>
      <c r="E851">
        <v>62</v>
      </c>
      <c r="F851">
        <v>44</v>
      </c>
    </row>
    <row r="852" spans="1:6" x14ac:dyDescent="0.2">
      <c r="A852">
        <v>20200729</v>
      </c>
      <c r="B852" t="s">
        <v>100</v>
      </c>
      <c r="C852" t="s">
        <v>9</v>
      </c>
      <c r="D852">
        <v>1022</v>
      </c>
      <c r="E852">
        <v>1022</v>
      </c>
      <c r="F852">
        <v>620</v>
      </c>
    </row>
    <row r="853" spans="1:6" x14ac:dyDescent="0.2">
      <c r="A853">
        <v>20200729</v>
      </c>
      <c r="B853" t="s">
        <v>112</v>
      </c>
      <c r="C853" t="s">
        <v>9</v>
      </c>
      <c r="D853">
        <v>4</v>
      </c>
      <c r="E853">
        <v>3</v>
      </c>
      <c r="F853">
        <v>2</v>
      </c>
    </row>
    <row r="854" spans="1:6" x14ac:dyDescent="0.2">
      <c r="A854">
        <v>20200729</v>
      </c>
      <c r="B854" t="s">
        <v>59</v>
      </c>
      <c r="C854" t="s">
        <v>9</v>
      </c>
      <c r="D854">
        <v>1</v>
      </c>
      <c r="E854">
        <v>1</v>
      </c>
      <c r="F854">
        <v>1</v>
      </c>
    </row>
    <row r="855" spans="1:6" x14ac:dyDescent="0.2">
      <c r="A855">
        <v>20200729</v>
      </c>
      <c r="B855" t="s">
        <v>134</v>
      </c>
      <c r="C855" t="s">
        <v>9</v>
      </c>
      <c r="D855">
        <v>114</v>
      </c>
      <c r="E855">
        <v>86</v>
      </c>
      <c r="F855">
        <v>25</v>
      </c>
    </row>
    <row r="856" spans="1:6" x14ac:dyDescent="0.2">
      <c r="A856">
        <v>20200729</v>
      </c>
      <c r="B856" t="s">
        <v>75</v>
      </c>
      <c r="C856" t="s">
        <v>9</v>
      </c>
      <c r="D856">
        <v>87</v>
      </c>
      <c r="E856">
        <v>87</v>
      </c>
      <c r="F856">
        <v>62</v>
      </c>
    </row>
    <row r="857" spans="1:6" x14ac:dyDescent="0.2">
      <c r="A857">
        <v>20200729</v>
      </c>
      <c r="B857" t="s">
        <v>8</v>
      </c>
      <c r="C857" t="s">
        <v>9</v>
      </c>
      <c r="D857">
        <v>2</v>
      </c>
      <c r="E857">
        <v>2</v>
      </c>
      <c r="F857">
        <v>1</v>
      </c>
    </row>
    <row r="858" spans="1:6" x14ac:dyDescent="0.2">
      <c r="A858">
        <v>20200729</v>
      </c>
      <c r="B858" t="s">
        <v>103</v>
      </c>
      <c r="C858" t="s">
        <v>9</v>
      </c>
      <c r="D858">
        <v>22</v>
      </c>
      <c r="E858">
        <v>22</v>
      </c>
      <c r="F858">
        <v>17</v>
      </c>
    </row>
    <row r="859" spans="1:6" x14ac:dyDescent="0.2">
      <c r="A859">
        <v>20200729</v>
      </c>
      <c r="B859" t="s">
        <v>109</v>
      </c>
      <c r="C859" t="s">
        <v>9</v>
      </c>
      <c r="D859">
        <v>2</v>
      </c>
      <c r="E859">
        <v>2</v>
      </c>
      <c r="F859">
        <v>1</v>
      </c>
    </row>
    <row r="860" spans="1:6" x14ac:dyDescent="0.2">
      <c r="A860">
        <v>20200729</v>
      </c>
      <c r="B860" t="s">
        <v>173</v>
      </c>
      <c r="C860" t="s">
        <v>9</v>
      </c>
      <c r="D860">
        <v>1480</v>
      </c>
      <c r="E860">
        <v>1480</v>
      </c>
      <c r="F860">
        <v>726</v>
      </c>
    </row>
    <row r="861" spans="1:6" x14ac:dyDescent="0.2">
      <c r="A861">
        <v>20200729</v>
      </c>
      <c r="B861" t="s">
        <v>141</v>
      </c>
      <c r="C861" t="s">
        <v>9</v>
      </c>
      <c r="D861">
        <v>58</v>
      </c>
      <c r="E861">
        <v>39</v>
      </c>
      <c r="F861">
        <v>16</v>
      </c>
    </row>
    <row r="862" spans="1:6" x14ac:dyDescent="0.2">
      <c r="A862">
        <v>20200729</v>
      </c>
      <c r="B862" t="s">
        <v>33</v>
      </c>
      <c r="C862" t="s">
        <v>7</v>
      </c>
      <c r="D862">
        <v>208</v>
      </c>
      <c r="E862">
        <v>0</v>
      </c>
      <c r="F862">
        <v>0</v>
      </c>
    </row>
    <row r="863" spans="1:6" x14ac:dyDescent="0.2">
      <c r="A863">
        <v>20200729</v>
      </c>
      <c r="B863" t="s">
        <v>33</v>
      </c>
      <c r="C863" t="s">
        <v>9</v>
      </c>
      <c r="D863">
        <v>238</v>
      </c>
      <c r="E863">
        <v>0</v>
      </c>
      <c r="F863">
        <v>0</v>
      </c>
    </row>
    <row r="864" spans="1:6" x14ac:dyDescent="0.2">
      <c r="A864">
        <v>20200729</v>
      </c>
      <c r="B864" t="s">
        <v>60</v>
      </c>
      <c r="C864" t="s">
        <v>9</v>
      </c>
      <c r="D864">
        <v>1</v>
      </c>
      <c r="E864">
        <v>1</v>
      </c>
      <c r="F864">
        <v>1</v>
      </c>
    </row>
    <row r="865" spans="1:6" x14ac:dyDescent="0.2">
      <c r="A865">
        <v>20200729</v>
      </c>
      <c r="B865" t="s">
        <v>114</v>
      </c>
      <c r="C865" t="s">
        <v>9</v>
      </c>
      <c r="D865">
        <v>352</v>
      </c>
      <c r="E865">
        <v>352</v>
      </c>
      <c r="F865">
        <v>247</v>
      </c>
    </row>
    <row r="866" spans="1:6" x14ac:dyDescent="0.2">
      <c r="A866">
        <v>20200729</v>
      </c>
      <c r="B866" t="s">
        <v>78</v>
      </c>
      <c r="C866" t="s">
        <v>7</v>
      </c>
      <c r="D866">
        <v>977</v>
      </c>
      <c r="E866">
        <v>977</v>
      </c>
      <c r="F866">
        <v>506</v>
      </c>
    </row>
    <row r="867" spans="1:6" x14ac:dyDescent="0.2">
      <c r="A867">
        <v>20200729</v>
      </c>
      <c r="B867" t="s">
        <v>78</v>
      </c>
      <c r="C867" t="s">
        <v>9</v>
      </c>
      <c r="D867">
        <v>255</v>
      </c>
      <c r="E867">
        <v>255</v>
      </c>
      <c r="F867">
        <v>122</v>
      </c>
    </row>
    <row r="868" spans="1:6" x14ac:dyDescent="0.2">
      <c r="A868">
        <v>20200729</v>
      </c>
      <c r="B868" t="s">
        <v>83</v>
      </c>
      <c r="C868" t="s">
        <v>7</v>
      </c>
      <c r="D868">
        <v>189</v>
      </c>
      <c r="E868">
        <v>189</v>
      </c>
      <c r="F868">
        <v>109</v>
      </c>
    </row>
    <row r="869" spans="1:6" x14ac:dyDescent="0.2">
      <c r="A869">
        <v>20200729</v>
      </c>
      <c r="B869" t="s">
        <v>83</v>
      </c>
      <c r="C869" t="s">
        <v>9</v>
      </c>
      <c r="D869">
        <v>209</v>
      </c>
      <c r="E869">
        <v>209</v>
      </c>
      <c r="F869">
        <v>122</v>
      </c>
    </row>
    <row r="870" spans="1:6" x14ac:dyDescent="0.2">
      <c r="A870">
        <v>20200729</v>
      </c>
      <c r="B870" t="s">
        <v>104</v>
      </c>
      <c r="C870" t="s">
        <v>7</v>
      </c>
      <c r="D870">
        <v>738</v>
      </c>
      <c r="E870">
        <v>738</v>
      </c>
      <c r="F870">
        <v>394</v>
      </c>
    </row>
    <row r="871" spans="1:6" x14ac:dyDescent="0.2">
      <c r="A871">
        <v>20200729</v>
      </c>
      <c r="B871" t="s">
        <v>104</v>
      </c>
      <c r="C871" t="s">
        <v>9</v>
      </c>
      <c r="D871">
        <v>1144</v>
      </c>
      <c r="E871">
        <v>1144</v>
      </c>
      <c r="F871">
        <v>630</v>
      </c>
    </row>
    <row r="872" spans="1:6" x14ac:dyDescent="0.2">
      <c r="A872">
        <v>20200729</v>
      </c>
      <c r="B872" t="s">
        <v>125</v>
      </c>
      <c r="C872" t="s">
        <v>9</v>
      </c>
      <c r="D872">
        <v>238</v>
      </c>
      <c r="E872">
        <v>238</v>
      </c>
      <c r="F872">
        <v>185</v>
      </c>
    </row>
    <row r="873" spans="1:6" x14ac:dyDescent="0.2">
      <c r="A873">
        <v>20200729</v>
      </c>
      <c r="B873" t="s">
        <v>81</v>
      </c>
      <c r="C873" t="s">
        <v>7</v>
      </c>
      <c r="D873">
        <v>593</v>
      </c>
      <c r="E873">
        <v>4</v>
      </c>
      <c r="F873">
        <v>4</v>
      </c>
    </row>
    <row r="874" spans="1:6" x14ac:dyDescent="0.2">
      <c r="A874">
        <v>20200729</v>
      </c>
      <c r="B874" t="s">
        <v>81</v>
      </c>
      <c r="C874" t="s">
        <v>9</v>
      </c>
      <c r="D874">
        <v>612</v>
      </c>
      <c r="E874">
        <v>4</v>
      </c>
      <c r="F874">
        <v>2</v>
      </c>
    </row>
    <row r="875" spans="1:6" x14ac:dyDescent="0.2">
      <c r="A875">
        <v>20200729</v>
      </c>
      <c r="B875" t="s">
        <v>107</v>
      </c>
      <c r="C875" t="s">
        <v>7</v>
      </c>
      <c r="D875">
        <v>20</v>
      </c>
      <c r="E875">
        <v>20</v>
      </c>
      <c r="F875">
        <v>9</v>
      </c>
    </row>
    <row r="876" spans="1:6" x14ac:dyDescent="0.2">
      <c r="A876">
        <v>20200729</v>
      </c>
      <c r="B876" t="s">
        <v>107</v>
      </c>
      <c r="C876" t="s">
        <v>9</v>
      </c>
      <c r="D876">
        <v>5</v>
      </c>
      <c r="E876">
        <v>5</v>
      </c>
      <c r="F876">
        <v>2</v>
      </c>
    </row>
    <row r="877" spans="1:6" x14ac:dyDescent="0.2">
      <c r="A877">
        <v>20200729</v>
      </c>
      <c r="B877" t="s">
        <v>48</v>
      </c>
      <c r="C877" t="s">
        <v>9</v>
      </c>
      <c r="D877">
        <v>2296</v>
      </c>
      <c r="E877">
        <v>2296</v>
      </c>
      <c r="F877">
        <v>1612</v>
      </c>
    </row>
    <row r="878" spans="1:6" x14ac:dyDescent="0.2">
      <c r="A878">
        <v>20200729</v>
      </c>
      <c r="B878" t="s">
        <v>24</v>
      </c>
      <c r="C878" t="s">
        <v>7</v>
      </c>
      <c r="D878">
        <v>1</v>
      </c>
      <c r="E878">
        <v>1</v>
      </c>
      <c r="F878">
        <v>0</v>
      </c>
    </row>
    <row r="879" spans="1:6" x14ac:dyDescent="0.2">
      <c r="A879">
        <v>20200729</v>
      </c>
      <c r="B879" t="s">
        <v>24</v>
      </c>
      <c r="C879" t="s">
        <v>9</v>
      </c>
      <c r="D879">
        <v>503</v>
      </c>
      <c r="E879">
        <v>321</v>
      </c>
      <c r="F879">
        <v>31</v>
      </c>
    </row>
    <row r="880" spans="1:6" x14ac:dyDescent="0.2">
      <c r="A880">
        <v>20200729</v>
      </c>
      <c r="B880" t="s">
        <v>93</v>
      </c>
      <c r="C880" t="s">
        <v>7</v>
      </c>
      <c r="D880">
        <v>2514</v>
      </c>
      <c r="E880">
        <v>2514</v>
      </c>
      <c r="F880">
        <v>1882</v>
      </c>
    </row>
    <row r="881" spans="1:6" x14ac:dyDescent="0.2">
      <c r="A881">
        <v>20200729</v>
      </c>
      <c r="B881" t="s">
        <v>93</v>
      </c>
      <c r="C881" t="s">
        <v>9</v>
      </c>
      <c r="D881">
        <v>1078</v>
      </c>
      <c r="E881">
        <v>1078</v>
      </c>
      <c r="F881">
        <v>819</v>
      </c>
    </row>
    <row r="882" spans="1:6" x14ac:dyDescent="0.2">
      <c r="A882">
        <v>20200729</v>
      </c>
      <c r="B882" t="s">
        <v>30</v>
      </c>
      <c r="C882" t="s">
        <v>9</v>
      </c>
      <c r="D882">
        <v>45</v>
      </c>
      <c r="E882">
        <v>45</v>
      </c>
      <c r="F882">
        <v>28</v>
      </c>
    </row>
    <row r="883" spans="1:6" x14ac:dyDescent="0.2">
      <c r="A883">
        <v>20200729</v>
      </c>
      <c r="B883" t="s">
        <v>67</v>
      </c>
      <c r="C883" t="s">
        <v>9</v>
      </c>
      <c r="D883">
        <v>3</v>
      </c>
      <c r="E883">
        <v>2</v>
      </c>
      <c r="F883">
        <v>1</v>
      </c>
    </row>
    <row r="884" spans="1:6" x14ac:dyDescent="0.2">
      <c r="A884">
        <v>20200729</v>
      </c>
      <c r="B884" t="s">
        <v>22</v>
      </c>
      <c r="C884" t="s">
        <v>7</v>
      </c>
      <c r="D884">
        <v>5758</v>
      </c>
      <c r="E884">
        <v>5758</v>
      </c>
      <c r="F884">
        <v>4399</v>
      </c>
    </row>
    <row r="885" spans="1:6" x14ac:dyDescent="0.2">
      <c r="A885">
        <v>20200729</v>
      </c>
      <c r="B885" t="s">
        <v>22</v>
      </c>
      <c r="C885" t="s">
        <v>9</v>
      </c>
      <c r="D885">
        <v>4123</v>
      </c>
      <c r="E885">
        <v>4123</v>
      </c>
      <c r="F885">
        <v>3149</v>
      </c>
    </row>
    <row r="886" spans="1:6" x14ac:dyDescent="0.2">
      <c r="A886">
        <v>20200729</v>
      </c>
      <c r="B886" t="s">
        <v>15</v>
      </c>
      <c r="C886" t="s">
        <v>9</v>
      </c>
      <c r="D886">
        <v>325</v>
      </c>
      <c r="E886">
        <v>325</v>
      </c>
      <c r="F886">
        <v>228</v>
      </c>
    </row>
    <row r="887" spans="1:6" x14ac:dyDescent="0.2">
      <c r="A887">
        <v>20200729</v>
      </c>
      <c r="B887" t="s">
        <v>55</v>
      </c>
      <c r="C887" t="s">
        <v>9</v>
      </c>
      <c r="D887">
        <v>1166</v>
      </c>
      <c r="E887">
        <v>1166</v>
      </c>
      <c r="F887">
        <v>843</v>
      </c>
    </row>
    <row r="888" spans="1:6" x14ac:dyDescent="0.2">
      <c r="A888">
        <v>20200729</v>
      </c>
      <c r="B888" t="s">
        <v>10</v>
      </c>
      <c r="C888" t="s">
        <v>9</v>
      </c>
      <c r="D888">
        <v>1</v>
      </c>
      <c r="E888">
        <v>1</v>
      </c>
      <c r="F888">
        <v>0</v>
      </c>
    </row>
    <row r="889" spans="1:6" x14ac:dyDescent="0.2">
      <c r="A889">
        <v>20200729</v>
      </c>
      <c r="B889" t="s">
        <v>111</v>
      </c>
      <c r="C889" t="s">
        <v>9</v>
      </c>
      <c r="D889">
        <v>273</v>
      </c>
      <c r="E889">
        <v>273</v>
      </c>
      <c r="F889">
        <v>175</v>
      </c>
    </row>
    <row r="890" spans="1:6" x14ac:dyDescent="0.2">
      <c r="A890">
        <v>20200729</v>
      </c>
      <c r="B890" t="s">
        <v>46</v>
      </c>
      <c r="C890" t="s">
        <v>9</v>
      </c>
      <c r="D890">
        <v>651</v>
      </c>
      <c r="E890">
        <v>651</v>
      </c>
      <c r="F890">
        <v>557</v>
      </c>
    </row>
    <row r="891" spans="1:6" x14ac:dyDescent="0.2">
      <c r="A891">
        <v>20200729</v>
      </c>
      <c r="C891" t="s">
        <v>7</v>
      </c>
      <c r="D891">
        <v>9337</v>
      </c>
      <c r="E891">
        <v>0</v>
      </c>
      <c r="F891">
        <v>0</v>
      </c>
    </row>
    <row r="892" spans="1:6" x14ac:dyDescent="0.2">
      <c r="A892">
        <v>20200729</v>
      </c>
      <c r="C892" t="s">
        <v>9</v>
      </c>
      <c r="D892">
        <v>11089</v>
      </c>
      <c r="E892">
        <v>0</v>
      </c>
      <c r="F892">
        <v>0</v>
      </c>
    </row>
    <row r="893" spans="1:6" x14ac:dyDescent="0.2">
      <c r="A893">
        <v>20200730</v>
      </c>
      <c r="B893" t="s">
        <v>157</v>
      </c>
      <c r="C893" t="s">
        <v>9</v>
      </c>
      <c r="D893">
        <v>798</v>
      </c>
      <c r="E893">
        <v>525</v>
      </c>
      <c r="F893">
        <v>114</v>
      </c>
    </row>
    <row r="894" spans="1:6" x14ac:dyDescent="0.2">
      <c r="A894">
        <v>20200730</v>
      </c>
      <c r="B894" t="s">
        <v>124</v>
      </c>
      <c r="C894" t="s">
        <v>9</v>
      </c>
      <c r="D894">
        <v>383</v>
      </c>
      <c r="E894">
        <v>286</v>
      </c>
      <c r="F894">
        <v>103</v>
      </c>
    </row>
    <row r="895" spans="1:6" x14ac:dyDescent="0.2">
      <c r="A895">
        <v>20200730</v>
      </c>
      <c r="B895" t="s">
        <v>82</v>
      </c>
      <c r="C895" t="s">
        <v>7</v>
      </c>
      <c r="D895">
        <v>5069</v>
      </c>
      <c r="E895">
        <v>5069</v>
      </c>
      <c r="F895">
        <v>2751</v>
      </c>
    </row>
    <row r="896" spans="1:6" x14ac:dyDescent="0.2">
      <c r="A896">
        <v>20200730</v>
      </c>
      <c r="B896" t="s">
        <v>82</v>
      </c>
      <c r="C896" t="s">
        <v>9</v>
      </c>
      <c r="D896">
        <v>2316</v>
      </c>
      <c r="E896">
        <v>2316</v>
      </c>
      <c r="F896">
        <v>1379</v>
      </c>
    </row>
    <row r="897" spans="1:6" x14ac:dyDescent="0.2">
      <c r="A897">
        <v>20200730</v>
      </c>
      <c r="B897" t="s">
        <v>34</v>
      </c>
      <c r="C897" t="s">
        <v>7</v>
      </c>
      <c r="D897">
        <v>9274</v>
      </c>
      <c r="E897">
        <v>6192</v>
      </c>
      <c r="F897">
        <v>3172</v>
      </c>
    </row>
    <row r="898" spans="1:6" x14ac:dyDescent="0.2">
      <c r="A898">
        <v>20200730</v>
      </c>
      <c r="B898" t="s">
        <v>34</v>
      </c>
      <c r="C898" t="s">
        <v>9</v>
      </c>
      <c r="D898">
        <v>6758</v>
      </c>
      <c r="E898">
        <v>4139</v>
      </c>
      <c r="F898">
        <v>2112</v>
      </c>
    </row>
    <row r="899" spans="1:6" x14ac:dyDescent="0.2">
      <c r="A899">
        <v>20200730</v>
      </c>
      <c r="B899" t="s">
        <v>94</v>
      </c>
      <c r="C899" t="s">
        <v>9</v>
      </c>
      <c r="D899">
        <v>99</v>
      </c>
      <c r="E899">
        <v>99</v>
      </c>
      <c r="F899">
        <v>67</v>
      </c>
    </row>
    <row r="900" spans="1:6" x14ac:dyDescent="0.2">
      <c r="A900">
        <v>20200730</v>
      </c>
      <c r="B900" t="s">
        <v>45</v>
      </c>
      <c r="C900" t="s">
        <v>7</v>
      </c>
      <c r="D900">
        <v>1657</v>
      </c>
      <c r="E900">
        <v>2</v>
      </c>
      <c r="F900">
        <v>0</v>
      </c>
    </row>
    <row r="901" spans="1:6" x14ac:dyDescent="0.2">
      <c r="A901">
        <v>20200730</v>
      </c>
      <c r="B901" t="s">
        <v>45</v>
      </c>
      <c r="C901" t="s">
        <v>9</v>
      </c>
      <c r="D901">
        <v>1569</v>
      </c>
      <c r="E901">
        <v>5</v>
      </c>
      <c r="F901">
        <v>2</v>
      </c>
    </row>
    <row r="902" spans="1:6" x14ac:dyDescent="0.2">
      <c r="A902">
        <v>20200730</v>
      </c>
      <c r="B902" t="s">
        <v>69</v>
      </c>
      <c r="C902" t="s">
        <v>7</v>
      </c>
      <c r="D902">
        <v>651</v>
      </c>
      <c r="E902">
        <v>1</v>
      </c>
      <c r="F902">
        <v>0</v>
      </c>
    </row>
    <row r="903" spans="1:6" x14ac:dyDescent="0.2">
      <c r="A903">
        <v>20200730</v>
      </c>
      <c r="B903" t="s">
        <v>69</v>
      </c>
      <c r="C903" t="s">
        <v>9</v>
      </c>
      <c r="D903">
        <v>622</v>
      </c>
      <c r="E903">
        <v>1</v>
      </c>
      <c r="F903">
        <v>1</v>
      </c>
    </row>
    <row r="904" spans="1:6" x14ac:dyDescent="0.2">
      <c r="A904">
        <v>20200730</v>
      </c>
      <c r="B904" t="s">
        <v>123</v>
      </c>
      <c r="C904" t="s">
        <v>7</v>
      </c>
      <c r="D904">
        <v>998</v>
      </c>
      <c r="E904">
        <v>2</v>
      </c>
      <c r="F904">
        <v>2</v>
      </c>
    </row>
    <row r="905" spans="1:6" x14ac:dyDescent="0.2">
      <c r="A905">
        <v>20200730</v>
      </c>
      <c r="B905" t="s">
        <v>123</v>
      </c>
      <c r="C905" t="s">
        <v>9</v>
      </c>
      <c r="D905">
        <v>975</v>
      </c>
      <c r="E905">
        <v>5</v>
      </c>
      <c r="F905">
        <v>3</v>
      </c>
    </row>
    <row r="906" spans="1:6" x14ac:dyDescent="0.2">
      <c r="A906">
        <v>20200730</v>
      </c>
      <c r="B906" t="s">
        <v>101</v>
      </c>
      <c r="C906" t="s">
        <v>7</v>
      </c>
      <c r="D906">
        <v>2393</v>
      </c>
      <c r="E906">
        <v>6</v>
      </c>
      <c r="F906">
        <v>3</v>
      </c>
    </row>
    <row r="907" spans="1:6" x14ac:dyDescent="0.2">
      <c r="A907">
        <v>20200730</v>
      </c>
      <c r="B907" t="s">
        <v>101</v>
      </c>
      <c r="C907" t="s">
        <v>9</v>
      </c>
      <c r="D907">
        <v>2372</v>
      </c>
      <c r="E907">
        <v>6</v>
      </c>
      <c r="F907">
        <v>4</v>
      </c>
    </row>
    <row r="908" spans="1:6" x14ac:dyDescent="0.2">
      <c r="A908">
        <v>20200730</v>
      </c>
      <c r="B908" t="s">
        <v>31</v>
      </c>
      <c r="C908" t="s">
        <v>9</v>
      </c>
      <c r="D908">
        <v>19</v>
      </c>
      <c r="E908">
        <v>11</v>
      </c>
      <c r="F908">
        <v>4</v>
      </c>
    </row>
    <row r="909" spans="1:6" x14ac:dyDescent="0.2">
      <c r="A909">
        <v>20200730</v>
      </c>
      <c r="B909" t="s">
        <v>147</v>
      </c>
      <c r="C909" t="s">
        <v>7</v>
      </c>
      <c r="D909">
        <v>6</v>
      </c>
      <c r="E909">
        <v>6</v>
      </c>
      <c r="F909">
        <v>1</v>
      </c>
    </row>
    <row r="910" spans="1:6" x14ac:dyDescent="0.2">
      <c r="A910">
        <v>20200730</v>
      </c>
      <c r="B910" t="s">
        <v>147</v>
      </c>
      <c r="C910" t="s">
        <v>9</v>
      </c>
      <c r="D910">
        <v>992</v>
      </c>
      <c r="E910">
        <v>859</v>
      </c>
      <c r="F910">
        <v>518</v>
      </c>
    </row>
    <row r="911" spans="1:6" x14ac:dyDescent="0.2">
      <c r="A911">
        <v>20200730</v>
      </c>
      <c r="B911" t="s">
        <v>11</v>
      </c>
      <c r="C911" t="s">
        <v>7</v>
      </c>
      <c r="D911">
        <v>12239</v>
      </c>
      <c r="E911">
        <v>2</v>
      </c>
      <c r="F911">
        <v>1</v>
      </c>
    </row>
    <row r="912" spans="1:6" x14ac:dyDescent="0.2">
      <c r="A912">
        <v>20200730</v>
      </c>
      <c r="B912" t="s">
        <v>11</v>
      </c>
      <c r="C912" t="s">
        <v>9</v>
      </c>
      <c r="D912">
        <v>12026</v>
      </c>
      <c r="E912">
        <v>1</v>
      </c>
      <c r="F912">
        <v>0</v>
      </c>
    </row>
    <row r="913" spans="1:6" x14ac:dyDescent="0.2">
      <c r="A913">
        <v>20200730</v>
      </c>
      <c r="B913" t="s">
        <v>16</v>
      </c>
      <c r="C913" t="s">
        <v>7</v>
      </c>
      <c r="D913">
        <v>249</v>
      </c>
      <c r="E913">
        <v>249</v>
      </c>
      <c r="F913">
        <v>144</v>
      </c>
    </row>
    <row r="914" spans="1:6" x14ac:dyDescent="0.2">
      <c r="A914">
        <v>20200730</v>
      </c>
      <c r="B914" t="s">
        <v>16</v>
      </c>
      <c r="C914" t="s">
        <v>9</v>
      </c>
      <c r="D914">
        <v>241</v>
      </c>
      <c r="E914">
        <v>241</v>
      </c>
      <c r="F914">
        <v>167</v>
      </c>
    </row>
    <row r="915" spans="1:6" x14ac:dyDescent="0.2">
      <c r="A915">
        <v>20200730</v>
      </c>
      <c r="B915" t="s">
        <v>120</v>
      </c>
      <c r="C915" t="s">
        <v>9</v>
      </c>
      <c r="D915">
        <v>1</v>
      </c>
      <c r="E915">
        <v>1</v>
      </c>
      <c r="F915">
        <v>0</v>
      </c>
    </row>
    <row r="916" spans="1:6" x14ac:dyDescent="0.2">
      <c r="A916">
        <v>20200730</v>
      </c>
      <c r="B916" t="s">
        <v>6</v>
      </c>
      <c r="C916" t="s">
        <v>7</v>
      </c>
      <c r="D916">
        <v>13473</v>
      </c>
      <c r="E916">
        <v>2004</v>
      </c>
      <c r="F916">
        <v>1500</v>
      </c>
    </row>
    <row r="917" spans="1:6" x14ac:dyDescent="0.2">
      <c r="A917">
        <v>20200730</v>
      </c>
      <c r="B917" t="s">
        <v>6</v>
      </c>
      <c r="C917" t="s">
        <v>9</v>
      </c>
      <c r="D917">
        <v>30795</v>
      </c>
      <c r="E917">
        <v>13027</v>
      </c>
      <c r="F917">
        <v>9243</v>
      </c>
    </row>
    <row r="918" spans="1:6" x14ac:dyDescent="0.2">
      <c r="A918">
        <v>20200730</v>
      </c>
      <c r="B918" t="s">
        <v>41</v>
      </c>
      <c r="C918" t="s">
        <v>7</v>
      </c>
      <c r="D918">
        <v>163</v>
      </c>
      <c r="E918">
        <v>95</v>
      </c>
      <c r="F918">
        <v>16</v>
      </c>
    </row>
    <row r="919" spans="1:6" x14ac:dyDescent="0.2">
      <c r="A919">
        <v>20200730</v>
      </c>
      <c r="B919" t="s">
        <v>41</v>
      </c>
      <c r="C919" t="s">
        <v>9</v>
      </c>
      <c r="D919">
        <v>167</v>
      </c>
      <c r="E919">
        <v>118</v>
      </c>
      <c r="F919">
        <v>39</v>
      </c>
    </row>
    <row r="920" spans="1:6" x14ac:dyDescent="0.2">
      <c r="A920">
        <v>20200730</v>
      </c>
      <c r="B920" t="s">
        <v>51</v>
      </c>
      <c r="C920" t="s">
        <v>9</v>
      </c>
      <c r="D920">
        <v>386</v>
      </c>
      <c r="E920">
        <v>386</v>
      </c>
      <c r="F920">
        <v>185</v>
      </c>
    </row>
    <row r="921" spans="1:6" x14ac:dyDescent="0.2">
      <c r="A921">
        <v>20200730</v>
      </c>
      <c r="B921" t="s">
        <v>142</v>
      </c>
      <c r="C921" t="s">
        <v>9</v>
      </c>
      <c r="D921">
        <v>40</v>
      </c>
      <c r="E921">
        <v>25</v>
      </c>
      <c r="F921">
        <v>8</v>
      </c>
    </row>
    <row r="922" spans="1:6" x14ac:dyDescent="0.2">
      <c r="A922">
        <v>20200730</v>
      </c>
      <c r="B922" t="s">
        <v>35</v>
      </c>
      <c r="C922" t="s">
        <v>9</v>
      </c>
      <c r="D922">
        <v>347</v>
      </c>
      <c r="E922">
        <v>347</v>
      </c>
      <c r="F922">
        <v>157</v>
      </c>
    </row>
    <row r="923" spans="1:6" x14ac:dyDescent="0.2">
      <c r="A923">
        <v>20200730</v>
      </c>
      <c r="B923" t="s">
        <v>84</v>
      </c>
      <c r="C923" t="s">
        <v>9</v>
      </c>
      <c r="D923">
        <v>800</v>
      </c>
      <c r="E923">
        <v>800</v>
      </c>
      <c r="F923">
        <v>546</v>
      </c>
    </row>
    <row r="924" spans="1:6" x14ac:dyDescent="0.2">
      <c r="A924">
        <v>20200730</v>
      </c>
      <c r="B924" t="s">
        <v>20</v>
      </c>
      <c r="C924" t="s">
        <v>7</v>
      </c>
      <c r="D924">
        <v>107</v>
      </c>
      <c r="E924">
        <v>66</v>
      </c>
      <c r="F924">
        <v>32</v>
      </c>
    </row>
    <row r="925" spans="1:6" x14ac:dyDescent="0.2">
      <c r="A925">
        <v>20200730</v>
      </c>
      <c r="B925" t="s">
        <v>20</v>
      </c>
      <c r="C925" t="s">
        <v>9</v>
      </c>
      <c r="D925">
        <v>646</v>
      </c>
      <c r="E925">
        <v>429</v>
      </c>
      <c r="F925">
        <v>258</v>
      </c>
    </row>
    <row r="926" spans="1:6" x14ac:dyDescent="0.2">
      <c r="A926">
        <v>20200730</v>
      </c>
      <c r="B926" t="s">
        <v>21</v>
      </c>
      <c r="C926" t="s">
        <v>7</v>
      </c>
      <c r="D926">
        <v>14</v>
      </c>
      <c r="E926">
        <v>9</v>
      </c>
      <c r="F926">
        <v>2</v>
      </c>
    </row>
    <row r="927" spans="1:6" x14ac:dyDescent="0.2">
      <c r="A927">
        <v>20200730</v>
      </c>
      <c r="B927" t="s">
        <v>21</v>
      </c>
      <c r="C927" t="s">
        <v>9</v>
      </c>
      <c r="D927">
        <v>133</v>
      </c>
      <c r="E927">
        <v>67</v>
      </c>
      <c r="F927">
        <v>34</v>
      </c>
    </row>
    <row r="928" spans="1:6" x14ac:dyDescent="0.2">
      <c r="A928">
        <v>20200730</v>
      </c>
      <c r="B928" t="s">
        <v>25</v>
      </c>
      <c r="C928" t="s">
        <v>9</v>
      </c>
      <c r="D928">
        <v>4</v>
      </c>
      <c r="E928">
        <v>4</v>
      </c>
      <c r="F928">
        <v>3</v>
      </c>
    </row>
    <row r="929" spans="1:6" x14ac:dyDescent="0.2">
      <c r="A929">
        <v>20200730</v>
      </c>
      <c r="B929" t="s">
        <v>72</v>
      </c>
      <c r="C929" t="s">
        <v>7</v>
      </c>
      <c r="D929">
        <v>121</v>
      </c>
      <c r="E929">
        <v>121</v>
      </c>
      <c r="F929">
        <v>76</v>
      </c>
    </row>
    <row r="930" spans="1:6" x14ac:dyDescent="0.2">
      <c r="A930">
        <v>20200730</v>
      </c>
      <c r="B930" t="s">
        <v>72</v>
      </c>
      <c r="C930" t="s">
        <v>9</v>
      </c>
      <c r="D930">
        <v>335</v>
      </c>
      <c r="E930">
        <v>335</v>
      </c>
      <c r="F930">
        <v>250</v>
      </c>
    </row>
    <row r="931" spans="1:6" x14ac:dyDescent="0.2">
      <c r="A931">
        <v>20200730</v>
      </c>
      <c r="B931" t="s">
        <v>28</v>
      </c>
      <c r="C931" t="s">
        <v>9</v>
      </c>
      <c r="D931">
        <v>86</v>
      </c>
      <c r="E931">
        <v>86</v>
      </c>
      <c r="F931">
        <v>63</v>
      </c>
    </row>
    <row r="932" spans="1:6" x14ac:dyDescent="0.2">
      <c r="A932">
        <v>20200730</v>
      </c>
      <c r="B932" t="s">
        <v>66</v>
      </c>
      <c r="C932" t="s">
        <v>9</v>
      </c>
      <c r="D932">
        <v>2</v>
      </c>
      <c r="E932">
        <v>2</v>
      </c>
      <c r="F932">
        <v>0</v>
      </c>
    </row>
    <row r="933" spans="1:6" x14ac:dyDescent="0.2">
      <c r="A933">
        <v>20200730</v>
      </c>
      <c r="B933" t="s">
        <v>99</v>
      </c>
      <c r="C933" t="s">
        <v>9</v>
      </c>
      <c r="D933">
        <v>41</v>
      </c>
      <c r="E933">
        <v>41</v>
      </c>
      <c r="F933">
        <v>25</v>
      </c>
    </row>
    <row r="934" spans="1:6" x14ac:dyDescent="0.2">
      <c r="A934">
        <v>20200730</v>
      </c>
      <c r="B934" t="s">
        <v>153</v>
      </c>
      <c r="C934" t="s">
        <v>9</v>
      </c>
      <c r="D934">
        <v>26</v>
      </c>
      <c r="E934">
        <v>12</v>
      </c>
      <c r="F934">
        <v>6</v>
      </c>
    </row>
    <row r="935" spans="1:6" x14ac:dyDescent="0.2">
      <c r="A935">
        <v>20200730</v>
      </c>
      <c r="B935" t="s">
        <v>76</v>
      </c>
      <c r="C935" t="s">
        <v>7</v>
      </c>
      <c r="D935">
        <v>188</v>
      </c>
      <c r="E935">
        <v>188</v>
      </c>
      <c r="F935">
        <v>130</v>
      </c>
    </row>
    <row r="936" spans="1:6" x14ac:dyDescent="0.2">
      <c r="A936">
        <v>20200730</v>
      </c>
      <c r="B936" t="s">
        <v>76</v>
      </c>
      <c r="C936" t="s">
        <v>9</v>
      </c>
      <c r="D936">
        <v>199</v>
      </c>
      <c r="E936">
        <v>199</v>
      </c>
      <c r="F936">
        <v>154</v>
      </c>
    </row>
    <row r="937" spans="1:6" x14ac:dyDescent="0.2">
      <c r="A937">
        <v>20200730</v>
      </c>
      <c r="B937" t="s">
        <v>62</v>
      </c>
      <c r="C937" t="s">
        <v>9</v>
      </c>
      <c r="D937">
        <v>25</v>
      </c>
      <c r="E937">
        <v>18</v>
      </c>
      <c r="F937">
        <v>11</v>
      </c>
    </row>
    <row r="938" spans="1:6" x14ac:dyDescent="0.2">
      <c r="A938">
        <v>20200730</v>
      </c>
      <c r="B938" t="s">
        <v>118</v>
      </c>
      <c r="C938" t="s">
        <v>7</v>
      </c>
      <c r="D938">
        <v>78</v>
      </c>
      <c r="E938">
        <v>0</v>
      </c>
      <c r="F938">
        <v>0</v>
      </c>
    </row>
    <row r="939" spans="1:6" x14ac:dyDescent="0.2">
      <c r="A939">
        <v>20200730</v>
      </c>
      <c r="B939" t="s">
        <v>118</v>
      </c>
      <c r="C939" t="s">
        <v>9</v>
      </c>
      <c r="D939">
        <v>96</v>
      </c>
      <c r="E939">
        <v>0</v>
      </c>
      <c r="F939">
        <v>0</v>
      </c>
    </row>
    <row r="940" spans="1:6" x14ac:dyDescent="0.2">
      <c r="A940">
        <v>20200730</v>
      </c>
      <c r="B940" t="s">
        <v>53</v>
      </c>
      <c r="C940" t="s">
        <v>9</v>
      </c>
      <c r="D940">
        <v>181</v>
      </c>
      <c r="E940">
        <v>181</v>
      </c>
      <c r="F940">
        <v>130</v>
      </c>
    </row>
    <row r="941" spans="1:6" x14ac:dyDescent="0.2">
      <c r="A941">
        <v>20200730</v>
      </c>
      <c r="B941" t="s">
        <v>95</v>
      </c>
      <c r="C941" t="s">
        <v>7</v>
      </c>
      <c r="D941">
        <v>432</v>
      </c>
      <c r="E941">
        <v>432</v>
      </c>
      <c r="F941">
        <v>221</v>
      </c>
    </row>
    <row r="942" spans="1:6" x14ac:dyDescent="0.2">
      <c r="A942">
        <v>20200730</v>
      </c>
      <c r="B942" t="s">
        <v>95</v>
      </c>
      <c r="C942" t="s">
        <v>9</v>
      </c>
      <c r="D942">
        <v>278</v>
      </c>
      <c r="E942">
        <v>278</v>
      </c>
      <c r="F942">
        <v>156</v>
      </c>
    </row>
    <row r="943" spans="1:6" x14ac:dyDescent="0.2">
      <c r="A943">
        <v>20200730</v>
      </c>
      <c r="B943" t="s">
        <v>102</v>
      </c>
      <c r="C943" t="s">
        <v>9</v>
      </c>
      <c r="D943">
        <v>1166</v>
      </c>
      <c r="E943">
        <v>1166</v>
      </c>
      <c r="F943">
        <v>524</v>
      </c>
    </row>
    <row r="944" spans="1:6" x14ac:dyDescent="0.2">
      <c r="A944">
        <v>20200730</v>
      </c>
      <c r="B944" t="s">
        <v>126</v>
      </c>
      <c r="C944" t="s">
        <v>9</v>
      </c>
      <c r="D944">
        <v>1</v>
      </c>
      <c r="E944">
        <v>1</v>
      </c>
      <c r="F944">
        <v>0</v>
      </c>
    </row>
    <row r="945" spans="1:6" x14ac:dyDescent="0.2">
      <c r="A945">
        <v>20200730</v>
      </c>
      <c r="B945" t="s">
        <v>117</v>
      </c>
      <c r="C945" t="s">
        <v>9</v>
      </c>
      <c r="D945">
        <v>64</v>
      </c>
      <c r="E945">
        <v>64</v>
      </c>
      <c r="F945">
        <v>53</v>
      </c>
    </row>
    <row r="946" spans="1:6" x14ac:dyDescent="0.2">
      <c r="A946">
        <v>20200730</v>
      </c>
      <c r="B946" t="s">
        <v>13</v>
      </c>
      <c r="C946" t="s">
        <v>7</v>
      </c>
      <c r="D946">
        <v>1398</v>
      </c>
      <c r="E946">
        <v>1398</v>
      </c>
      <c r="F946">
        <v>1040</v>
      </c>
    </row>
    <row r="947" spans="1:6" x14ac:dyDescent="0.2">
      <c r="A947">
        <v>20200730</v>
      </c>
      <c r="B947" t="s">
        <v>13</v>
      </c>
      <c r="C947" t="s">
        <v>9</v>
      </c>
      <c r="D947">
        <v>2013</v>
      </c>
      <c r="E947">
        <v>2013</v>
      </c>
      <c r="F947">
        <v>1545</v>
      </c>
    </row>
    <row r="948" spans="1:6" x14ac:dyDescent="0.2">
      <c r="A948">
        <v>20200730</v>
      </c>
      <c r="B948" t="s">
        <v>128</v>
      </c>
      <c r="C948" t="s">
        <v>9</v>
      </c>
      <c r="D948">
        <v>2</v>
      </c>
      <c r="E948">
        <v>2</v>
      </c>
      <c r="F948">
        <v>1</v>
      </c>
    </row>
    <row r="949" spans="1:6" x14ac:dyDescent="0.2">
      <c r="A949">
        <v>20200730</v>
      </c>
      <c r="B949" t="s">
        <v>122</v>
      </c>
      <c r="C949" t="s">
        <v>7</v>
      </c>
      <c r="D949">
        <v>1</v>
      </c>
      <c r="E949">
        <v>1</v>
      </c>
      <c r="F949">
        <v>0</v>
      </c>
    </row>
    <row r="950" spans="1:6" x14ac:dyDescent="0.2">
      <c r="A950">
        <v>20200730</v>
      </c>
      <c r="B950" t="s">
        <v>122</v>
      </c>
      <c r="C950" t="s">
        <v>9</v>
      </c>
      <c r="D950">
        <v>508</v>
      </c>
      <c r="E950">
        <v>508</v>
      </c>
      <c r="F950">
        <v>370</v>
      </c>
    </row>
    <row r="951" spans="1:6" x14ac:dyDescent="0.2">
      <c r="A951">
        <v>20200730</v>
      </c>
      <c r="B951" t="s">
        <v>100</v>
      </c>
      <c r="C951" t="s">
        <v>7</v>
      </c>
      <c r="D951">
        <v>48</v>
      </c>
      <c r="E951">
        <v>48</v>
      </c>
      <c r="F951">
        <v>29</v>
      </c>
    </row>
    <row r="952" spans="1:6" x14ac:dyDescent="0.2">
      <c r="A952">
        <v>20200730</v>
      </c>
      <c r="B952" t="s">
        <v>100</v>
      </c>
      <c r="C952" t="s">
        <v>9</v>
      </c>
      <c r="D952">
        <v>1053</v>
      </c>
      <c r="E952">
        <v>1053</v>
      </c>
      <c r="F952">
        <v>640</v>
      </c>
    </row>
    <row r="953" spans="1:6" x14ac:dyDescent="0.2">
      <c r="A953">
        <v>20200730</v>
      </c>
      <c r="B953" t="s">
        <v>86</v>
      </c>
      <c r="C953" t="s">
        <v>7</v>
      </c>
      <c r="D953">
        <v>1897</v>
      </c>
      <c r="E953">
        <v>9</v>
      </c>
      <c r="F953">
        <v>6</v>
      </c>
    </row>
    <row r="954" spans="1:6" x14ac:dyDescent="0.2">
      <c r="A954">
        <v>20200730</v>
      </c>
      <c r="B954" t="s">
        <v>86</v>
      </c>
      <c r="C954" t="s">
        <v>9</v>
      </c>
      <c r="D954">
        <v>1994</v>
      </c>
      <c r="E954">
        <v>10</v>
      </c>
      <c r="F954">
        <v>6</v>
      </c>
    </row>
    <row r="955" spans="1:6" x14ac:dyDescent="0.2">
      <c r="A955">
        <v>20200730</v>
      </c>
      <c r="B955" t="s">
        <v>166</v>
      </c>
      <c r="C955" t="s">
        <v>7</v>
      </c>
      <c r="D955">
        <v>125</v>
      </c>
      <c r="E955">
        <v>2</v>
      </c>
      <c r="F955">
        <v>1</v>
      </c>
    </row>
    <row r="956" spans="1:6" x14ac:dyDescent="0.2">
      <c r="A956">
        <v>20200730</v>
      </c>
      <c r="B956" t="s">
        <v>166</v>
      </c>
      <c r="C956" t="s">
        <v>9</v>
      </c>
      <c r="D956">
        <v>118</v>
      </c>
      <c r="E956">
        <v>0</v>
      </c>
      <c r="F956">
        <v>0</v>
      </c>
    </row>
    <row r="957" spans="1:6" x14ac:dyDescent="0.2">
      <c r="A957">
        <v>20200730</v>
      </c>
      <c r="B957" t="s">
        <v>75</v>
      </c>
      <c r="C957" t="s">
        <v>9</v>
      </c>
      <c r="D957">
        <v>65</v>
      </c>
      <c r="E957">
        <v>65</v>
      </c>
      <c r="F957">
        <v>44</v>
      </c>
    </row>
    <row r="958" spans="1:6" x14ac:dyDescent="0.2">
      <c r="A958">
        <v>20200730</v>
      </c>
      <c r="B958" t="s">
        <v>103</v>
      </c>
      <c r="C958" t="s">
        <v>9</v>
      </c>
      <c r="D958">
        <v>32</v>
      </c>
      <c r="E958">
        <v>32</v>
      </c>
      <c r="F958">
        <v>24</v>
      </c>
    </row>
    <row r="959" spans="1:6" x14ac:dyDescent="0.2">
      <c r="A959">
        <v>20200730</v>
      </c>
      <c r="B959" t="s">
        <v>173</v>
      </c>
      <c r="C959" t="s">
        <v>9</v>
      </c>
      <c r="D959">
        <v>216</v>
      </c>
      <c r="E959">
        <v>216</v>
      </c>
      <c r="F959">
        <v>114</v>
      </c>
    </row>
    <row r="960" spans="1:6" x14ac:dyDescent="0.2">
      <c r="A960">
        <v>20200730</v>
      </c>
      <c r="B960" t="s">
        <v>141</v>
      </c>
      <c r="C960" t="s">
        <v>9</v>
      </c>
      <c r="D960">
        <v>51</v>
      </c>
      <c r="E960">
        <v>37</v>
      </c>
      <c r="F960">
        <v>16</v>
      </c>
    </row>
    <row r="961" spans="1:6" x14ac:dyDescent="0.2">
      <c r="A961">
        <v>20200730</v>
      </c>
      <c r="B961" t="s">
        <v>33</v>
      </c>
      <c r="C961" t="s">
        <v>7</v>
      </c>
      <c r="D961">
        <v>359</v>
      </c>
      <c r="E961">
        <v>282</v>
      </c>
      <c r="F961">
        <v>154</v>
      </c>
    </row>
    <row r="962" spans="1:6" x14ac:dyDescent="0.2">
      <c r="A962">
        <v>20200730</v>
      </c>
      <c r="B962" t="s">
        <v>33</v>
      </c>
      <c r="C962" t="s">
        <v>9</v>
      </c>
      <c r="D962">
        <v>236</v>
      </c>
      <c r="E962">
        <v>186</v>
      </c>
      <c r="F962">
        <v>121</v>
      </c>
    </row>
    <row r="963" spans="1:6" x14ac:dyDescent="0.2">
      <c r="A963">
        <v>20200730</v>
      </c>
      <c r="B963" t="s">
        <v>60</v>
      </c>
      <c r="C963" t="s">
        <v>9</v>
      </c>
      <c r="D963">
        <v>1</v>
      </c>
      <c r="E963">
        <v>1</v>
      </c>
      <c r="F963">
        <v>0</v>
      </c>
    </row>
    <row r="964" spans="1:6" x14ac:dyDescent="0.2">
      <c r="A964">
        <v>20200730</v>
      </c>
      <c r="B964" t="s">
        <v>114</v>
      </c>
      <c r="C964" t="s">
        <v>9</v>
      </c>
      <c r="D964">
        <v>247</v>
      </c>
      <c r="E964">
        <v>247</v>
      </c>
      <c r="F964">
        <v>200</v>
      </c>
    </row>
    <row r="965" spans="1:6" x14ac:dyDescent="0.2">
      <c r="A965">
        <v>20200730</v>
      </c>
      <c r="B965" t="s">
        <v>78</v>
      </c>
      <c r="C965" t="s">
        <v>7</v>
      </c>
      <c r="D965">
        <v>746</v>
      </c>
      <c r="E965">
        <v>746</v>
      </c>
      <c r="F965">
        <v>393</v>
      </c>
    </row>
    <row r="966" spans="1:6" x14ac:dyDescent="0.2">
      <c r="A966">
        <v>20200730</v>
      </c>
      <c r="B966" t="s">
        <v>78</v>
      </c>
      <c r="C966" t="s">
        <v>9</v>
      </c>
      <c r="D966">
        <v>182</v>
      </c>
      <c r="E966">
        <v>182</v>
      </c>
      <c r="F966">
        <v>79</v>
      </c>
    </row>
    <row r="967" spans="1:6" x14ac:dyDescent="0.2">
      <c r="A967">
        <v>20200730</v>
      </c>
      <c r="B967" t="s">
        <v>83</v>
      </c>
      <c r="C967" t="s">
        <v>7</v>
      </c>
      <c r="D967">
        <v>163</v>
      </c>
      <c r="E967">
        <v>163</v>
      </c>
      <c r="F967">
        <v>86</v>
      </c>
    </row>
    <row r="968" spans="1:6" x14ac:dyDescent="0.2">
      <c r="A968">
        <v>20200730</v>
      </c>
      <c r="B968" t="s">
        <v>83</v>
      </c>
      <c r="C968" t="s">
        <v>9</v>
      </c>
      <c r="D968">
        <v>154</v>
      </c>
      <c r="E968">
        <v>154</v>
      </c>
      <c r="F968">
        <v>98</v>
      </c>
    </row>
    <row r="969" spans="1:6" x14ac:dyDescent="0.2">
      <c r="A969">
        <v>20200730</v>
      </c>
      <c r="B969" t="s">
        <v>104</v>
      </c>
      <c r="C969" t="s">
        <v>7</v>
      </c>
      <c r="D969">
        <v>567</v>
      </c>
      <c r="E969">
        <v>567</v>
      </c>
      <c r="F969">
        <v>307</v>
      </c>
    </row>
    <row r="970" spans="1:6" x14ac:dyDescent="0.2">
      <c r="A970">
        <v>20200730</v>
      </c>
      <c r="B970" t="s">
        <v>104</v>
      </c>
      <c r="C970" t="s">
        <v>9</v>
      </c>
      <c r="D970">
        <v>1028</v>
      </c>
      <c r="E970">
        <v>1028</v>
      </c>
      <c r="F970">
        <v>549</v>
      </c>
    </row>
    <row r="971" spans="1:6" x14ac:dyDescent="0.2">
      <c r="A971">
        <v>20200730</v>
      </c>
      <c r="B971" t="s">
        <v>125</v>
      </c>
      <c r="C971" t="s">
        <v>9</v>
      </c>
      <c r="D971">
        <v>237</v>
      </c>
      <c r="E971">
        <v>237</v>
      </c>
      <c r="F971">
        <v>189</v>
      </c>
    </row>
    <row r="972" spans="1:6" x14ac:dyDescent="0.2">
      <c r="A972">
        <v>20200730</v>
      </c>
      <c r="B972" t="s">
        <v>81</v>
      </c>
      <c r="C972" t="s">
        <v>7</v>
      </c>
      <c r="D972">
        <v>543</v>
      </c>
      <c r="E972">
        <v>2</v>
      </c>
      <c r="F972">
        <v>1</v>
      </c>
    </row>
    <row r="973" spans="1:6" x14ac:dyDescent="0.2">
      <c r="A973">
        <v>20200730</v>
      </c>
      <c r="B973" t="s">
        <v>81</v>
      </c>
      <c r="C973" t="s">
        <v>9</v>
      </c>
      <c r="D973">
        <v>559</v>
      </c>
      <c r="E973">
        <v>0</v>
      </c>
      <c r="F973">
        <v>0</v>
      </c>
    </row>
    <row r="974" spans="1:6" x14ac:dyDescent="0.2">
      <c r="A974">
        <v>20200730</v>
      </c>
      <c r="B974" t="s">
        <v>14</v>
      </c>
      <c r="C974" t="s">
        <v>9</v>
      </c>
      <c r="D974">
        <v>35</v>
      </c>
      <c r="E974">
        <v>35</v>
      </c>
      <c r="F974">
        <v>30</v>
      </c>
    </row>
    <row r="975" spans="1:6" x14ac:dyDescent="0.2">
      <c r="A975">
        <v>20200730</v>
      </c>
      <c r="B975" t="s">
        <v>107</v>
      </c>
      <c r="C975" t="s">
        <v>7</v>
      </c>
      <c r="D975">
        <v>14</v>
      </c>
      <c r="E975">
        <v>14</v>
      </c>
      <c r="F975">
        <v>9</v>
      </c>
    </row>
    <row r="976" spans="1:6" x14ac:dyDescent="0.2">
      <c r="A976">
        <v>20200730</v>
      </c>
      <c r="B976" t="s">
        <v>107</v>
      </c>
      <c r="C976" t="s">
        <v>9</v>
      </c>
      <c r="D976">
        <v>6</v>
      </c>
      <c r="E976">
        <v>6</v>
      </c>
      <c r="F976">
        <v>4</v>
      </c>
    </row>
    <row r="977" spans="1:6" x14ac:dyDescent="0.2">
      <c r="A977">
        <v>20200730</v>
      </c>
      <c r="B977" t="s">
        <v>48</v>
      </c>
      <c r="C977" t="s">
        <v>9</v>
      </c>
      <c r="D977">
        <v>1579</v>
      </c>
      <c r="E977">
        <v>1579</v>
      </c>
      <c r="F977">
        <v>1103</v>
      </c>
    </row>
    <row r="978" spans="1:6" x14ac:dyDescent="0.2">
      <c r="A978">
        <v>20200730</v>
      </c>
      <c r="B978" t="s">
        <v>24</v>
      </c>
      <c r="C978" t="s">
        <v>7</v>
      </c>
      <c r="D978">
        <v>61</v>
      </c>
      <c r="E978">
        <v>46</v>
      </c>
      <c r="F978">
        <v>5</v>
      </c>
    </row>
    <row r="979" spans="1:6" x14ac:dyDescent="0.2">
      <c r="A979">
        <v>20200730</v>
      </c>
      <c r="B979" t="s">
        <v>24</v>
      </c>
      <c r="C979" t="s">
        <v>9</v>
      </c>
      <c r="D979">
        <v>398</v>
      </c>
      <c r="E979">
        <v>263</v>
      </c>
      <c r="F979">
        <v>18</v>
      </c>
    </row>
    <row r="980" spans="1:6" x14ac:dyDescent="0.2">
      <c r="A980">
        <v>20200730</v>
      </c>
      <c r="B980" t="s">
        <v>93</v>
      </c>
      <c r="C980" t="s">
        <v>7</v>
      </c>
      <c r="D980">
        <v>1943</v>
      </c>
      <c r="E980">
        <v>1943</v>
      </c>
      <c r="F980">
        <v>1453</v>
      </c>
    </row>
    <row r="981" spans="1:6" x14ac:dyDescent="0.2">
      <c r="A981">
        <v>20200730</v>
      </c>
      <c r="B981" t="s">
        <v>93</v>
      </c>
      <c r="C981" t="s">
        <v>9</v>
      </c>
      <c r="D981">
        <v>948</v>
      </c>
      <c r="E981">
        <v>948</v>
      </c>
      <c r="F981">
        <v>716</v>
      </c>
    </row>
    <row r="982" spans="1:6" x14ac:dyDescent="0.2">
      <c r="A982">
        <v>20200730</v>
      </c>
      <c r="B982" t="s">
        <v>30</v>
      </c>
      <c r="C982" t="s">
        <v>9</v>
      </c>
      <c r="D982">
        <v>54</v>
      </c>
      <c r="E982">
        <v>54</v>
      </c>
      <c r="F982">
        <v>34</v>
      </c>
    </row>
    <row r="983" spans="1:6" x14ac:dyDescent="0.2">
      <c r="A983">
        <v>20200730</v>
      </c>
      <c r="B983" t="s">
        <v>22</v>
      </c>
      <c r="C983" t="s">
        <v>7</v>
      </c>
      <c r="D983">
        <v>5935</v>
      </c>
      <c r="E983">
        <v>5935</v>
      </c>
      <c r="F983">
        <v>4510</v>
      </c>
    </row>
    <row r="984" spans="1:6" x14ac:dyDescent="0.2">
      <c r="A984">
        <v>20200730</v>
      </c>
      <c r="B984" t="s">
        <v>22</v>
      </c>
      <c r="C984" t="s">
        <v>9</v>
      </c>
      <c r="D984">
        <v>4328</v>
      </c>
      <c r="E984">
        <v>4328</v>
      </c>
      <c r="F984">
        <v>3332</v>
      </c>
    </row>
    <row r="985" spans="1:6" x14ac:dyDescent="0.2">
      <c r="A985">
        <v>20200730</v>
      </c>
      <c r="B985" t="s">
        <v>15</v>
      </c>
      <c r="C985" t="s">
        <v>9</v>
      </c>
      <c r="D985">
        <v>841</v>
      </c>
      <c r="E985">
        <v>841</v>
      </c>
      <c r="F985">
        <v>625</v>
      </c>
    </row>
    <row r="986" spans="1:6" x14ac:dyDescent="0.2">
      <c r="A986">
        <v>20200730</v>
      </c>
      <c r="B986" t="s">
        <v>55</v>
      </c>
      <c r="C986" t="s">
        <v>9</v>
      </c>
      <c r="D986">
        <v>1482</v>
      </c>
      <c r="E986">
        <v>1482</v>
      </c>
      <c r="F986">
        <v>1050</v>
      </c>
    </row>
    <row r="987" spans="1:6" x14ac:dyDescent="0.2">
      <c r="A987">
        <v>20200730</v>
      </c>
      <c r="B987" t="s">
        <v>111</v>
      </c>
      <c r="C987" t="s">
        <v>9</v>
      </c>
      <c r="D987">
        <v>314</v>
      </c>
      <c r="E987">
        <v>314</v>
      </c>
      <c r="F987">
        <v>203</v>
      </c>
    </row>
    <row r="988" spans="1:6" x14ac:dyDescent="0.2">
      <c r="A988">
        <v>20200730</v>
      </c>
      <c r="B988" t="s">
        <v>46</v>
      </c>
      <c r="C988" t="s">
        <v>9</v>
      </c>
      <c r="D988">
        <v>536</v>
      </c>
      <c r="E988">
        <v>536</v>
      </c>
      <c r="F988">
        <v>436</v>
      </c>
    </row>
    <row r="989" spans="1:6" x14ac:dyDescent="0.2">
      <c r="A989">
        <v>20200730</v>
      </c>
      <c r="C989" t="s">
        <v>7</v>
      </c>
      <c r="D989">
        <v>7940</v>
      </c>
      <c r="E989">
        <v>0</v>
      </c>
      <c r="F989">
        <v>0</v>
      </c>
    </row>
    <row r="990" spans="1:6" x14ac:dyDescent="0.2">
      <c r="A990">
        <v>20200730</v>
      </c>
      <c r="C990" t="s">
        <v>9</v>
      </c>
      <c r="D990">
        <v>8863</v>
      </c>
      <c r="E990">
        <v>0</v>
      </c>
      <c r="F990">
        <v>0</v>
      </c>
    </row>
    <row r="991" spans="1:6" x14ac:dyDescent="0.2">
      <c r="A991">
        <v>20200731</v>
      </c>
      <c r="B991" t="s">
        <v>157</v>
      </c>
      <c r="C991" t="s">
        <v>9</v>
      </c>
      <c r="D991">
        <v>4</v>
      </c>
      <c r="E991">
        <v>1</v>
      </c>
      <c r="F991">
        <v>0</v>
      </c>
    </row>
    <row r="992" spans="1:6" x14ac:dyDescent="0.2">
      <c r="A992">
        <v>20200731</v>
      </c>
      <c r="B992" t="s">
        <v>124</v>
      </c>
      <c r="C992" t="s">
        <v>9</v>
      </c>
      <c r="D992">
        <v>315</v>
      </c>
      <c r="E992">
        <v>259</v>
      </c>
      <c r="F992">
        <v>84</v>
      </c>
    </row>
    <row r="993" spans="1:6" x14ac:dyDescent="0.2">
      <c r="A993">
        <v>20200731</v>
      </c>
      <c r="B993" t="s">
        <v>82</v>
      </c>
      <c r="C993" t="s">
        <v>7</v>
      </c>
      <c r="D993">
        <v>6070</v>
      </c>
      <c r="E993">
        <v>6070</v>
      </c>
      <c r="F993">
        <v>3218</v>
      </c>
    </row>
    <row r="994" spans="1:6" x14ac:dyDescent="0.2">
      <c r="A994">
        <v>20200731</v>
      </c>
      <c r="B994" t="s">
        <v>82</v>
      </c>
      <c r="C994" t="s">
        <v>9</v>
      </c>
      <c r="D994">
        <v>4368</v>
      </c>
      <c r="E994">
        <v>4368</v>
      </c>
      <c r="F994">
        <v>2308</v>
      </c>
    </row>
    <row r="995" spans="1:6" x14ac:dyDescent="0.2">
      <c r="A995">
        <v>20200731</v>
      </c>
      <c r="B995" t="s">
        <v>34</v>
      </c>
      <c r="C995" t="s">
        <v>7</v>
      </c>
      <c r="D995">
        <v>2582</v>
      </c>
      <c r="E995">
        <v>1919</v>
      </c>
      <c r="F995">
        <v>992</v>
      </c>
    </row>
    <row r="996" spans="1:6" x14ac:dyDescent="0.2">
      <c r="A996">
        <v>20200731</v>
      </c>
      <c r="B996" t="s">
        <v>34</v>
      </c>
      <c r="C996" t="s">
        <v>9</v>
      </c>
      <c r="D996">
        <v>1157</v>
      </c>
      <c r="E996">
        <v>861</v>
      </c>
      <c r="F996">
        <v>462</v>
      </c>
    </row>
    <row r="997" spans="1:6" x14ac:dyDescent="0.2">
      <c r="A997">
        <v>20200731</v>
      </c>
      <c r="B997" t="s">
        <v>94</v>
      </c>
      <c r="C997" t="s">
        <v>9</v>
      </c>
      <c r="D997">
        <v>60</v>
      </c>
      <c r="E997">
        <v>60</v>
      </c>
      <c r="F997">
        <v>38</v>
      </c>
    </row>
    <row r="998" spans="1:6" x14ac:dyDescent="0.2">
      <c r="A998">
        <v>20200731</v>
      </c>
      <c r="B998" t="s">
        <v>45</v>
      </c>
      <c r="C998" t="s">
        <v>7</v>
      </c>
      <c r="D998">
        <v>1652</v>
      </c>
      <c r="E998">
        <v>10</v>
      </c>
      <c r="F998">
        <v>4</v>
      </c>
    </row>
    <row r="999" spans="1:6" x14ac:dyDescent="0.2">
      <c r="A999">
        <v>20200731</v>
      </c>
      <c r="B999" t="s">
        <v>45</v>
      </c>
      <c r="C999" t="s">
        <v>9</v>
      </c>
      <c r="D999">
        <v>1711</v>
      </c>
      <c r="E999">
        <v>5</v>
      </c>
      <c r="F999">
        <v>2</v>
      </c>
    </row>
    <row r="1000" spans="1:6" x14ac:dyDescent="0.2">
      <c r="A1000">
        <v>20200731</v>
      </c>
      <c r="B1000" t="s">
        <v>69</v>
      </c>
      <c r="C1000" t="s">
        <v>7</v>
      </c>
      <c r="D1000">
        <v>681</v>
      </c>
      <c r="E1000">
        <v>5</v>
      </c>
      <c r="F1000">
        <v>1</v>
      </c>
    </row>
    <row r="1001" spans="1:6" x14ac:dyDescent="0.2">
      <c r="A1001">
        <v>20200731</v>
      </c>
      <c r="B1001" t="s">
        <v>69</v>
      </c>
      <c r="C1001" t="s">
        <v>9</v>
      </c>
      <c r="D1001">
        <v>686</v>
      </c>
      <c r="E1001">
        <v>4</v>
      </c>
      <c r="F1001">
        <v>3</v>
      </c>
    </row>
    <row r="1002" spans="1:6" x14ac:dyDescent="0.2">
      <c r="A1002">
        <v>20200731</v>
      </c>
      <c r="B1002" t="s">
        <v>123</v>
      </c>
      <c r="C1002" t="s">
        <v>7</v>
      </c>
      <c r="D1002">
        <v>1119</v>
      </c>
      <c r="E1002">
        <v>5</v>
      </c>
      <c r="F1002">
        <v>3</v>
      </c>
    </row>
    <row r="1003" spans="1:6" x14ac:dyDescent="0.2">
      <c r="A1003">
        <v>20200731</v>
      </c>
      <c r="B1003" t="s">
        <v>123</v>
      </c>
      <c r="C1003" t="s">
        <v>9</v>
      </c>
      <c r="D1003">
        <v>1076</v>
      </c>
      <c r="E1003">
        <v>5</v>
      </c>
      <c r="F1003">
        <v>3</v>
      </c>
    </row>
    <row r="1004" spans="1:6" x14ac:dyDescent="0.2">
      <c r="A1004">
        <v>20200731</v>
      </c>
      <c r="B1004" t="s">
        <v>101</v>
      </c>
      <c r="C1004" t="s">
        <v>7</v>
      </c>
      <c r="D1004">
        <v>1651</v>
      </c>
      <c r="E1004">
        <v>3</v>
      </c>
      <c r="F1004">
        <v>2</v>
      </c>
    </row>
    <row r="1005" spans="1:6" x14ac:dyDescent="0.2">
      <c r="A1005">
        <v>20200731</v>
      </c>
      <c r="B1005" t="s">
        <v>101</v>
      </c>
      <c r="C1005" t="s">
        <v>9</v>
      </c>
      <c r="D1005">
        <v>1645</v>
      </c>
      <c r="E1005">
        <v>1</v>
      </c>
      <c r="F1005">
        <v>1</v>
      </c>
    </row>
    <row r="1006" spans="1:6" x14ac:dyDescent="0.2">
      <c r="A1006">
        <v>20200731</v>
      </c>
      <c r="B1006" t="s">
        <v>129</v>
      </c>
      <c r="C1006" t="s">
        <v>7</v>
      </c>
      <c r="D1006">
        <v>3112</v>
      </c>
      <c r="E1006">
        <v>10</v>
      </c>
      <c r="F1006">
        <v>5</v>
      </c>
    </row>
    <row r="1007" spans="1:6" x14ac:dyDescent="0.2">
      <c r="A1007">
        <v>20200731</v>
      </c>
      <c r="B1007" t="s">
        <v>129</v>
      </c>
      <c r="C1007" t="s">
        <v>9</v>
      </c>
      <c r="D1007">
        <v>3191</v>
      </c>
      <c r="E1007">
        <v>10</v>
      </c>
      <c r="F1007">
        <v>3</v>
      </c>
    </row>
    <row r="1008" spans="1:6" x14ac:dyDescent="0.2">
      <c r="A1008">
        <v>20200731</v>
      </c>
      <c r="B1008" t="s">
        <v>147</v>
      </c>
      <c r="C1008" t="s">
        <v>9</v>
      </c>
      <c r="D1008">
        <v>144</v>
      </c>
      <c r="E1008">
        <v>113</v>
      </c>
      <c r="F1008">
        <v>63</v>
      </c>
    </row>
    <row r="1009" spans="1:6" x14ac:dyDescent="0.2">
      <c r="A1009">
        <v>20200731</v>
      </c>
      <c r="B1009" t="s">
        <v>11</v>
      </c>
      <c r="C1009" t="s">
        <v>7</v>
      </c>
      <c r="D1009">
        <v>12354</v>
      </c>
      <c r="E1009">
        <v>4</v>
      </c>
      <c r="F1009">
        <v>2</v>
      </c>
    </row>
    <row r="1010" spans="1:6" x14ac:dyDescent="0.2">
      <c r="A1010">
        <v>20200731</v>
      </c>
      <c r="B1010" t="s">
        <v>11</v>
      </c>
      <c r="C1010" t="s">
        <v>9</v>
      </c>
      <c r="D1010">
        <v>11946</v>
      </c>
      <c r="E1010">
        <v>0</v>
      </c>
      <c r="F1010">
        <v>0</v>
      </c>
    </row>
    <row r="1011" spans="1:6" x14ac:dyDescent="0.2">
      <c r="A1011">
        <v>20200731</v>
      </c>
      <c r="B1011" t="s">
        <v>16</v>
      </c>
      <c r="C1011" t="s">
        <v>7</v>
      </c>
      <c r="D1011">
        <v>2781</v>
      </c>
      <c r="E1011">
        <v>2781</v>
      </c>
      <c r="F1011">
        <v>2022</v>
      </c>
    </row>
    <row r="1012" spans="1:6" x14ac:dyDescent="0.2">
      <c r="A1012">
        <v>20200731</v>
      </c>
      <c r="B1012" t="s">
        <v>16</v>
      </c>
      <c r="C1012" t="s">
        <v>9</v>
      </c>
      <c r="D1012">
        <v>1295</v>
      </c>
      <c r="E1012">
        <v>1295</v>
      </c>
      <c r="F1012">
        <v>949</v>
      </c>
    </row>
    <row r="1013" spans="1:6" x14ac:dyDescent="0.2">
      <c r="A1013">
        <v>20200731</v>
      </c>
      <c r="B1013" t="s">
        <v>120</v>
      </c>
      <c r="C1013" t="s">
        <v>9</v>
      </c>
      <c r="D1013">
        <v>3</v>
      </c>
      <c r="E1013">
        <v>3</v>
      </c>
      <c r="F1013">
        <v>0</v>
      </c>
    </row>
    <row r="1014" spans="1:6" x14ac:dyDescent="0.2">
      <c r="A1014">
        <v>20200731</v>
      </c>
      <c r="B1014" t="s">
        <v>6</v>
      </c>
      <c r="C1014" t="s">
        <v>7</v>
      </c>
      <c r="D1014">
        <v>1706</v>
      </c>
      <c r="E1014">
        <v>1046</v>
      </c>
      <c r="F1014">
        <v>805</v>
      </c>
    </row>
    <row r="1015" spans="1:6" x14ac:dyDescent="0.2">
      <c r="A1015">
        <v>20200731</v>
      </c>
      <c r="B1015" t="s">
        <v>6</v>
      </c>
      <c r="C1015" t="s">
        <v>9</v>
      </c>
      <c r="D1015">
        <v>15778</v>
      </c>
      <c r="E1015">
        <v>8449</v>
      </c>
      <c r="F1015">
        <v>6253</v>
      </c>
    </row>
    <row r="1016" spans="1:6" x14ac:dyDescent="0.2">
      <c r="A1016">
        <v>20200731</v>
      </c>
      <c r="B1016" t="s">
        <v>51</v>
      </c>
      <c r="C1016" t="s">
        <v>9</v>
      </c>
      <c r="D1016">
        <v>1</v>
      </c>
      <c r="E1016">
        <v>1</v>
      </c>
      <c r="F1016">
        <v>0</v>
      </c>
    </row>
    <row r="1017" spans="1:6" x14ac:dyDescent="0.2">
      <c r="A1017">
        <v>20200731</v>
      </c>
      <c r="B1017" t="s">
        <v>27</v>
      </c>
      <c r="C1017" t="s">
        <v>9</v>
      </c>
      <c r="D1017">
        <v>52</v>
      </c>
      <c r="E1017">
        <v>52</v>
      </c>
      <c r="F1017">
        <v>30</v>
      </c>
    </row>
    <row r="1018" spans="1:6" x14ac:dyDescent="0.2">
      <c r="A1018">
        <v>20200731</v>
      </c>
      <c r="B1018" t="s">
        <v>142</v>
      </c>
      <c r="C1018" t="s">
        <v>7</v>
      </c>
      <c r="D1018">
        <v>2</v>
      </c>
      <c r="E1018">
        <v>1</v>
      </c>
      <c r="F1018">
        <v>1</v>
      </c>
    </row>
    <row r="1019" spans="1:6" x14ac:dyDescent="0.2">
      <c r="A1019">
        <v>20200731</v>
      </c>
      <c r="B1019" t="s">
        <v>142</v>
      </c>
      <c r="C1019" t="s">
        <v>9</v>
      </c>
      <c r="D1019">
        <v>626</v>
      </c>
      <c r="E1019">
        <v>461</v>
      </c>
      <c r="F1019">
        <v>182</v>
      </c>
    </row>
    <row r="1020" spans="1:6" x14ac:dyDescent="0.2">
      <c r="A1020">
        <v>20200731</v>
      </c>
      <c r="B1020" t="s">
        <v>35</v>
      </c>
      <c r="C1020" t="s">
        <v>9</v>
      </c>
      <c r="D1020">
        <v>233</v>
      </c>
      <c r="E1020">
        <v>233</v>
      </c>
      <c r="F1020">
        <v>112</v>
      </c>
    </row>
    <row r="1021" spans="1:6" x14ac:dyDescent="0.2">
      <c r="A1021">
        <v>20200731</v>
      </c>
      <c r="B1021" t="s">
        <v>84</v>
      </c>
      <c r="C1021" t="s">
        <v>9</v>
      </c>
      <c r="D1021">
        <v>451</v>
      </c>
      <c r="E1021">
        <v>451</v>
      </c>
      <c r="F1021">
        <v>306</v>
      </c>
    </row>
    <row r="1022" spans="1:6" x14ac:dyDescent="0.2">
      <c r="A1022">
        <v>20200731</v>
      </c>
      <c r="B1022" t="s">
        <v>61</v>
      </c>
      <c r="C1022" t="s">
        <v>9</v>
      </c>
      <c r="D1022">
        <v>3</v>
      </c>
      <c r="E1022">
        <v>3</v>
      </c>
      <c r="F1022">
        <v>0</v>
      </c>
    </row>
    <row r="1023" spans="1:6" x14ac:dyDescent="0.2">
      <c r="A1023">
        <v>20200731</v>
      </c>
      <c r="B1023" t="s">
        <v>20</v>
      </c>
      <c r="C1023" t="s">
        <v>7</v>
      </c>
      <c r="D1023">
        <v>11</v>
      </c>
      <c r="E1023">
        <v>5</v>
      </c>
      <c r="F1023">
        <v>3</v>
      </c>
    </row>
    <row r="1024" spans="1:6" x14ac:dyDescent="0.2">
      <c r="A1024">
        <v>20200731</v>
      </c>
      <c r="B1024" t="s">
        <v>20</v>
      </c>
      <c r="C1024" t="s">
        <v>9</v>
      </c>
      <c r="D1024">
        <v>421</v>
      </c>
      <c r="E1024">
        <v>271</v>
      </c>
      <c r="F1024">
        <v>152</v>
      </c>
    </row>
    <row r="1025" spans="1:6" x14ac:dyDescent="0.2">
      <c r="A1025">
        <v>20200731</v>
      </c>
      <c r="B1025" t="s">
        <v>21</v>
      </c>
      <c r="C1025" t="s">
        <v>7</v>
      </c>
      <c r="D1025">
        <v>24</v>
      </c>
      <c r="E1025">
        <v>12</v>
      </c>
      <c r="F1025">
        <v>10</v>
      </c>
    </row>
    <row r="1026" spans="1:6" x14ac:dyDescent="0.2">
      <c r="A1026">
        <v>20200731</v>
      </c>
      <c r="B1026" t="s">
        <v>21</v>
      </c>
      <c r="C1026" t="s">
        <v>9</v>
      </c>
      <c r="D1026">
        <v>95</v>
      </c>
      <c r="E1026">
        <v>44</v>
      </c>
      <c r="F1026">
        <v>18</v>
      </c>
    </row>
    <row r="1027" spans="1:6" x14ac:dyDescent="0.2">
      <c r="A1027">
        <v>20200731</v>
      </c>
      <c r="B1027" t="s">
        <v>38</v>
      </c>
      <c r="C1027" t="s">
        <v>7</v>
      </c>
      <c r="D1027">
        <v>393</v>
      </c>
      <c r="E1027">
        <v>393</v>
      </c>
      <c r="F1027">
        <v>163</v>
      </c>
    </row>
    <row r="1028" spans="1:6" x14ac:dyDescent="0.2">
      <c r="A1028">
        <v>20200731</v>
      </c>
      <c r="B1028" t="s">
        <v>38</v>
      </c>
      <c r="C1028" t="s">
        <v>9</v>
      </c>
      <c r="D1028">
        <v>378</v>
      </c>
      <c r="E1028">
        <v>378</v>
      </c>
      <c r="F1028">
        <v>150</v>
      </c>
    </row>
    <row r="1029" spans="1:6" x14ac:dyDescent="0.2">
      <c r="A1029">
        <v>20200731</v>
      </c>
      <c r="B1029" t="s">
        <v>57</v>
      </c>
      <c r="C1029" t="s">
        <v>9</v>
      </c>
      <c r="D1029">
        <v>7</v>
      </c>
      <c r="E1029">
        <v>7</v>
      </c>
      <c r="F1029">
        <v>3</v>
      </c>
    </row>
    <row r="1030" spans="1:6" x14ac:dyDescent="0.2">
      <c r="A1030">
        <v>20200731</v>
      </c>
      <c r="B1030" t="s">
        <v>17</v>
      </c>
      <c r="C1030" t="s">
        <v>7</v>
      </c>
      <c r="D1030">
        <v>283</v>
      </c>
      <c r="E1030">
        <v>6</v>
      </c>
      <c r="F1030">
        <v>6</v>
      </c>
    </row>
    <row r="1031" spans="1:6" x14ac:dyDescent="0.2">
      <c r="A1031">
        <v>20200731</v>
      </c>
      <c r="B1031" t="s">
        <v>17</v>
      </c>
      <c r="C1031" t="s">
        <v>9</v>
      </c>
      <c r="D1031">
        <v>295</v>
      </c>
      <c r="E1031">
        <v>3</v>
      </c>
      <c r="F1031">
        <v>1</v>
      </c>
    </row>
    <row r="1032" spans="1:6" x14ac:dyDescent="0.2">
      <c r="A1032">
        <v>20200731</v>
      </c>
      <c r="B1032" t="s">
        <v>25</v>
      </c>
      <c r="C1032" t="s">
        <v>9</v>
      </c>
      <c r="D1032">
        <v>303</v>
      </c>
      <c r="E1032">
        <v>303</v>
      </c>
      <c r="F1032">
        <v>218</v>
      </c>
    </row>
    <row r="1033" spans="1:6" x14ac:dyDescent="0.2">
      <c r="A1033">
        <v>20200731</v>
      </c>
      <c r="B1033" t="s">
        <v>72</v>
      </c>
      <c r="C1033" t="s">
        <v>7</v>
      </c>
      <c r="D1033">
        <v>210</v>
      </c>
      <c r="E1033">
        <v>210</v>
      </c>
      <c r="F1033">
        <v>134</v>
      </c>
    </row>
    <row r="1034" spans="1:6" x14ac:dyDescent="0.2">
      <c r="A1034">
        <v>20200731</v>
      </c>
      <c r="B1034" t="s">
        <v>72</v>
      </c>
      <c r="C1034" t="s">
        <v>9</v>
      </c>
      <c r="D1034">
        <v>253</v>
      </c>
      <c r="E1034">
        <v>253</v>
      </c>
      <c r="F1034">
        <v>187</v>
      </c>
    </row>
    <row r="1035" spans="1:6" x14ac:dyDescent="0.2">
      <c r="A1035">
        <v>20200731</v>
      </c>
      <c r="B1035" t="s">
        <v>28</v>
      </c>
      <c r="C1035" t="s">
        <v>9</v>
      </c>
      <c r="D1035">
        <v>338</v>
      </c>
      <c r="E1035">
        <v>338</v>
      </c>
      <c r="F1035">
        <v>224</v>
      </c>
    </row>
    <row r="1036" spans="1:6" x14ac:dyDescent="0.2">
      <c r="A1036">
        <v>20200731</v>
      </c>
      <c r="B1036" t="s">
        <v>174</v>
      </c>
      <c r="C1036" t="s">
        <v>9</v>
      </c>
      <c r="D1036">
        <v>49</v>
      </c>
      <c r="E1036">
        <v>37</v>
      </c>
      <c r="F1036">
        <v>15</v>
      </c>
    </row>
    <row r="1037" spans="1:6" x14ac:dyDescent="0.2">
      <c r="A1037">
        <v>20200731</v>
      </c>
      <c r="B1037" t="s">
        <v>66</v>
      </c>
      <c r="C1037" t="s">
        <v>9</v>
      </c>
      <c r="D1037">
        <v>5</v>
      </c>
      <c r="E1037">
        <v>3</v>
      </c>
      <c r="F1037">
        <v>2</v>
      </c>
    </row>
    <row r="1038" spans="1:6" x14ac:dyDescent="0.2">
      <c r="A1038">
        <v>20200731</v>
      </c>
      <c r="B1038" t="s">
        <v>99</v>
      </c>
      <c r="C1038" t="s">
        <v>9</v>
      </c>
      <c r="D1038">
        <v>35</v>
      </c>
      <c r="E1038">
        <v>35</v>
      </c>
      <c r="F1038">
        <v>21</v>
      </c>
    </row>
    <row r="1039" spans="1:6" x14ac:dyDescent="0.2">
      <c r="A1039">
        <v>20200731</v>
      </c>
      <c r="B1039" t="s">
        <v>44</v>
      </c>
      <c r="C1039" t="s">
        <v>9</v>
      </c>
      <c r="D1039">
        <v>3</v>
      </c>
      <c r="E1039">
        <v>3</v>
      </c>
      <c r="F1039">
        <v>0</v>
      </c>
    </row>
    <row r="1040" spans="1:6" x14ac:dyDescent="0.2">
      <c r="A1040">
        <v>20200731</v>
      </c>
      <c r="B1040" t="s">
        <v>97</v>
      </c>
      <c r="C1040" t="s">
        <v>9</v>
      </c>
      <c r="D1040">
        <v>3</v>
      </c>
      <c r="E1040">
        <v>3</v>
      </c>
      <c r="F1040">
        <v>0</v>
      </c>
    </row>
    <row r="1041" spans="1:6" x14ac:dyDescent="0.2">
      <c r="A1041">
        <v>20200731</v>
      </c>
      <c r="B1041" t="s">
        <v>153</v>
      </c>
      <c r="C1041" t="s">
        <v>9</v>
      </c>
      <c r="D1041">
        <v>26</v>
      </c>
      <c r="E1041">
        <v>12</v>
      </c>
      <c r="F1041">
        <v>4</v>
      </c>
    </row>
    <row r="1042" spans="1:6" x14ac:dyDescent="0.2">
      <c r="A1042">
        <v>20200731</v>
      </c>
      <c r="B1042" t="s">
        <v>76</v>
      </c>
      <c r="C1042" t="s">
        <v>7</v>
      </c>
      <c r="D1042">
        <v>180</v>
      </c>
      <c r="E1042">
        <v>180</v>
      </c>
      <c r="F1042">
        <v>123</v>
      </c>
    </row>
    <row r="1043" spans="1:6" x14ac:dyDescent="0.2">
      <c r="A1043">
        <v>20200731</v>
      </c>
      <c r="B1043" t="s">
        <v>76</v>
      </c>
      <c r="C1043" t="s">
        <v>9</v>
      </c>
      <c r="D1043">
        <v>242</v>
      </c>
      <c r="E1043">
        <v>242</v>
      </c>
      <c r="F1043">
        <v>192</v>
      </c>
    </row>
    <row r="1044" spans="1:6" x14ac:dyDescent="0.2">
      <c r="A1044">
        <v>20200731</v>
      </c>
      <c r="B1044" t="s">
        <v>62</v>
      </c>
      <c r="C1044" t="s">
        <v>9</v>
      </c>
      <c r="D1044">
        <v>13</v>
      </c>
      <c r="E1044">
        <v>7</v>
      </c>
      <c r="F1044">
        <v>2</v>
      </c>
    </row>
    <row r="1045" spans="1:6" x14ac:dyDescent="0.2">
      <c r="A1045">
        <v>20200731</v>
      </c>
      <c r="B1045" t="s">
        <v>79</v>
      </c>
      <c r="C1045" t="s">
        <v>9</v>
      </c>
      <c r="D1045">
        <v>195</v>
      </c>
      <c r="E1045">
        <v>195</v>
      </c>
      <c r="F1045">
        <v>107</v>
      </c>
    </row>
    <row r="1046" spans="1:6" x14ac:dyDescent="0.2">
      <c r="A1046">
        <v>20200731</v>
      </c>
      <c r="B1046" t="s">
        <v>118</v>
      </c>
      <c r="C1046" t="s">
        <v>7</v>
      </c>
      <c r="D1046">
        <v>890</v>
      </c>
      <c r="E1046">
        <v>622</v>
      </c>
      <c r="F1046">
        <v>269</v>
      </c>
    </row>
    <row r="1047" spans="1:6" x14ac:dyDescent="0.2">
      <c r="A1047">
        <v>20200731</v>
      </c>
      <c r="B1047" t="s">
        <v>118</v>
      </c>
      <c r="C1047" t="s">
        <v>9</v>
      </c>
      <c r="D1047">
        <v>2025</v>
      </c>
      <c r="E1047">
        <v>1710</v>
      </c>
      <c r="F1047">
        <v>864</v>
      </c>
    </row>
    <row r="1048" spans="1:6" x14ac:dyDescent="0.2">
      <c r="A1048">
        <v>20200731</v>
      </c>
      <c r="B1048" t="s">
        <v>12</v>
      </c>
      <c r="C1048" t="s">
        <v>7</v>
      </c>
      <c r="D1048">
        <v>1318</v>
      </c>
      <c r="E1048">
        <v>247</v>
      </c>
      <c r="F1048">
        <v>186</v>
      </c>
    </row>
    <row r="1049" spans="1:6" x14ac:dyDescent="0.2">
      <c r="A1049">
        <v>20200731</v>
      </c>
      <c r="B1049" t="s">
        <v>12</v>
      </c>
      <c r="C1049" t="s">
        <v>9</v>
      </c>
      <c r="D1049">
        <v>1249</v>
      </c>
      <c r="E1049">
        <v>231</v>
      </c>
      <c r="F1049">
        <v>168</v>
      </c>
    </row>
    <row r="1050" spans="1:6" x14ac:dyDescent="0.2">
      <c r="A1050">
        <v>20200731</v>
      </c>
      <c r="B1050" t="s">
        <v>53</v>
      </c>
      <c r="C1050" t="s">
        <v>9</v>
      </c>
      <c r="D1050">
        <v>150</v>
      </c>
      <c r="E1050">
        <v>150</v>
      </c>
      <c r="F1050">
        <v>120</v>
      </c>
    </row>
    <row r="1051" spans="1:6" x14ac:dyDescent="0.2">
      <c r="A1051">
        <v>20200731</v>
      </c>
      <c r="B1051" t="s">
        <v>95</v>
      </c>
      <c r="C1051" t="s">
        <v>7</v>
      </c>
      <c r="D1051">
        <v>145</v>
      </c>
      <c r="E1051">
        <v>145</v>
      </c>
      <c r="F1051">
        <v>79</v>
      </c>
    </row>
    <row r="1052" spans="1:6" x14ac:dyDescent="0.2">
      <c r="A1052">
        <v>20200731</v>
      </c>
      <c r="B1052" t="s">
        <v>95</v>
      </c>
      <c r="C1052" t="s">
        <v>9</v>
      </c>
      <c r="D1052">
        <v>157</v>
      </c>
      <c r="E1052">
        <v>157</v>
      </c>
      <c r="F1052">
        <v>90</v>
      </c>
    </row>
    <row r="1053" spans="1:6" x14ac:dyDescent="0.2">
      <c r="A1053">
        <v>20200731</v>
      </c>
      <c r="B1053" t="s">
        <v>64</v>
      </c>
      <c r="C1053" t="s">
        <v>9</v>
      </c>
      <c r="D1053">
        <v>3</v>
      </c>
      <c r="E1053">
        <v>3</v>
      </c>
      <c r="F1053">
        <v>0</v>
      </c>
    </row>
    <row r="1054" spans="1:6" x14ac:dyDescent="0.2">
      <c r="A1054">
        <v>20200731</v>
      </c>
      <c r="B1054" t="s">
        <v>74</v>
      </c>
      <c r="C1054" t="s">
        <v>9</v>
      </c>
      <c r="D1054">
        <v>126</v>
      </c>
      <c r="E1054">
        <v>126</v>
      </c>
      <c r="F1054">
        <v>46</v>
      </c>
    </row>
    <row r="1055" spans="1:6" x14ac:dyDescent="0.2">
      <c r="A1055">
        <v>20200731</v>
      </c>
      <c r="B1055" t="s">
        <v>85</v>
      </c>
      <c r="C1055" t="s">
        <v>9</v>
      </c>
      <c r="D1055">
        <v>3</v>
      </c>
      <c r="E1055">
        <v>3</v>
      </c>
      <c r="F1055">
        <v>0</v>
      </c>
    </row>
    <row r="1056" spans="1:6" x14ac:dyDescent="0.2">
      <c r="A1056">
        <v>20200731</v>
      </c>
      <c r="B1056" t="s">
        <v>102</v>
      </c>
      <c r="C1056" t="s">
        <v>9</v>
      </c>
      <c r="D1056">
        <v>6</v>
      </c>
      <c r="E1056">
        <v>6</v>
      </c>
      <c r="F1056">
        <v>3</v>
      </c>
    </row>
    <row r="1057" spans="1:6" x14ac:dyDescent="0.2">
      <c r="A1057">
        <v>20200731</v>
      </c>
      <c r="B1057" t="s">
        <v>126</v>
      </c>
      <c r="C1057" t="s">
        <v>9</v>
      </c>
      <c r="D1057">
        <v>2</v>
      </c>
      <c r="E1057">
        <v>2</v>
      </c>
      <c r="F1057">
        <v>0</v>
      </c>
    </row>
    <row r="1058" spans="1:6" x14ac:dyDescent="0.2">
      <c r="A1058">
        <v>20200731</v>
      </c>
      <c r="B1058" t="s">
        <v>117</v>
      </c>
      <c r="C1058" t="s">
        <v>9</v>
      </c>
      <c r="D1058">
        <v>46</v>
      </c>
      <c r="E1058">
        <v>46</v>
      </c>
      <c r="F1058">
        <v>41</v>
      </c>
    </row>
    <row r="1059" spans="1:6" x14ac:dyDescent="0.2">
      <c r="A1059">
        <v>20200731</v>
      </c>
      <c r="B1059" t="s">
        <v>13</v>
      </c>
      <c r="C1059" t="s">
        <v>7</v>
      </c>
      <c r="D1059">
        <v>115</v>
      </c>
      <c r="E1059">
        <v>115</v>
      </c>
      <c r="F1059">
        <v>79</v>
      </c>
    </row>
    <row r="1060" spans="1:6" x14ac:dyDescent="0.2">
      <c r="A1060">
        <v>20200731</v>
      </c>
      <c r="B1060" t="s">
        <v>13</v>
      </c>
      <c r="C1060" t="s">
        <v>9</v>
      </c>
      <c r="D1060">
        <v>1293</v>
      </c>
      <c r="E1060">
        <v>1293</v>
      </c>
      <c r="F1060">
        <v>976</v>
      </c>
    </row>
    <row r="1061" spans="1:6" x14ac:dyDescent="0.2">
      <c r="A1061">
        <v>20200731</v>
      </c>
      <c r="B1061" t="s">
        <v>122</v>
      </c>
      <c r="C1061" t="s">
        <v>7</v>
      </c>
      <c r="D1061">
        <v>1</v>
      </c>
      <c r="E1061">
        <v>1</v>
      </c>
      <c r="F1061">
        <v>0</v>
      </c>
    </row>
    <row r="1062" spans="1:6" x14ac:dyDescent="0.2">
      <c r="A1062">
        <v>20200731</v>
      </c>
      <c r="B1062" t="s">
        <v>122</v>
      </c>
      <c r="C1062" t="s">
        <v>9</v>
      </c>
      <c r="D1062">
        <v>433</v>
      </c>
      <c r="E1062">
        <v>433</v>
      </c>
      <c r="F1062">
        <v>328</v>
      </c>
    </row>
    <row r="1063" spans="1:6" x14ac:dyDescent="0.2">
      <c r="A1063">
        <v>20200731</v>
      </c>
      <c r="B1063" t="s">
        <v>89</v>
      </c>
      <c r="C1063" t="s">
        <v>9</v>
      </c>
      <c r="D1063">
        <v>2</v>
      </c>
      <c r="E1063">
        <v>2</v>
      </c>
      <c r="F1063">
        <v>0</v>
      </c>
    </row>
    <row r="1064" spans="1:6" x14ac:dyDescent="0.2">
      <c r="A1064">
        <v>20200731</v>
      </c>
      <c r="B1064" t="s">
        <v>32</v>
      </c>
      <c r="C1064" t="s">
        <v>9</v>
      </c>
      <c r="D1064">
        <v>3</v>
      </c>
      <c r="E1064">
        <v>3</v>
      </c>
      <c r="F1064">
        <v>0</v>
      </c>
    </row>
    <row r="1065" spans="1:6" x14ac:dyDescent="0.2">
      <c r="A1065">
        <v>20200731</v>
      </c>
      <c r="B1065" t="s">
        <v>100</v>
      </c>
      <c r="C1065" t="s">
        <v>7</v>
      </c>
      <c r="D1065">
        <v>7</v>
      </c>
      <c r="E1065">
        <v>7</v>
      </c>
      <c r="F1065">
        <v>2</v>
      </c>
    </row>
    <row r="1066" spans="1:6" x14ac:dyDescent="0.2">
      <c r="A1066">
        <v>20200731</v>
      </c>
      <c r="B1066" t="s">
        <v>100</v>
      </c>
      <c r="C1066" t="s">
        <v>9</v>
      </c>
      <c r="D1066">
        <v>308</v>
      </c>
      <c r="E1066">
        <v>308</v>
      </c>
      <c r="F1066">
        <v>169</v>
      </c>
    </row>
    <row r="1067" spans="1:6" x14ac:dyDescent="0.2">
      <c r="A1067">
        <v>20200731</v>
      </c>
      <c r="B1067" t="s">
        <v>112</v>
      </c>
      <c r="C1067" t="s">
        <v>9</v>
      </c>
      <c r="D1067">
        <v>3</v>
      </c>
      <c r="E1067">
        <v>3</v>
      </c>
      <c r="F1067">
        <v>0</v>
      </c>
    </row>
    <row r="1068" spans="1:6" x14ac:dyDescent="0.2">
      <c r="A1068">
        <v>20200731</v>
      </c>
      <c r="B1068" t="s">
        <v>86</v>
      </c>
      <c r="C1068" t="s">
        <v>9</v>
      </c>
      <c r="D1068">
        <v>1</v>
      </c>
      <c r="E1068">
        <v>0</v>
      </c>
      <c r="F1068">
        <v>0</v>
      </c>
    </row>
    <row r="1069" spans="1:6" x14ac:dyDescent="0.2">
      <c r="A1069">
        <v>20200731</v>
      </c>
      <c r="B1069" t="s">
        <v>140</v>
      </c>
      <c r="C1069" t="s">
        <v>9</v>
      </c>
      <c r="D1069">
        <v>9</v>
      </c>
      <c r="E1069">
        <v>6</v>
      </c>
      <c r="F1069">
        <v>3</v>
      </c>
    </row>
    <row r="1070" spans="1:6" x14ac:dyDescent="0.2">
      <c r="A1070">
        <v>20200731</v>
      </c>
      <c r="B1070" t="s">
        <v>26</v>
      </c>
      <c r="C1070" t="s">
        <v>9</v>
      </c>
      <c r="D1070">
        <v>2</v>
      </c>
      <c r="E1070">
        <v>2</v>
      </c>
      <c r="F1070">
        <v>0</v>
      </c>
    </row>
    <row r="1071" spans="1:6" x14ac:dyDescent="0.2">
      <c r="A1071">
        <v>20200731</v>
      </c>
      <c r="B1071" t="s">
        <v>59</v>
      </c>
      <c r="C1071" t="s">
        <v>9</v>
      </c>
      <c r="D1071">
        <v>2</v>
      </c>
      <c r="E1071">
        <v>2</v>
      </c>
      <c r="F1071">
        <v>0</v>
      </c>
    </row>
    <row r="1072" spans="1:6" x14ac:dyDescent="0.2">
      <c r="A1072">
        <v>20200731</v>
      </c>
      <c r="B1072" t="s">
        <v>37</v>
      </c>
      <c r="C1072" t="s">
        <v>7</v>
      </c>
      <c r="D1072">
        <v>1364</v>
      </c>
      <c r="E1072">
        <v>0</v>
      </c>
      <c r="F1072">
        <v>0</v>
      </c>
    </row>
    <row r="1073" spans="1:6" x14ac:dyDescent="0.2">
      <c r="A1073">
        <v>20200731</v>
      </c>
      <c r="B1073" t="s">
        <v>37</v>
      </c>
      <c r="C1073" t="s">
        <v>9</v>
      </c>
      <c r="D1073">
        <v>1303</v>
      </c>
      <c r="E1073">
        <v>0</v>
      </c>
      <c r="F1073">
        <v>0</v>
      </c>
    </row>
    <row r="1074" spans="1:6" x14ac:dyDescent="0.2">
      <c r="A1074">
        <v>20200731</v>
      </c>
      <c r="B1074" t="s">
        <v>105</v>
      </c>
      <c r="C1074" t="s">
        <v>7</v>
      </c>
      <c r="D1074">
        <v>1833</v>
      </c>
      <c r="E1074">
        <v>3</v>
      </c>
      <c r="F1074">
        <v>0</v>
      </c>
    </row>
    <row r="1075" spans="1:6" x14ac:dyDescent="0.2">
      <c r="A1075">
        <v>20200731</v>
      </c>
      <c r="B1075" t="s">
        <v>105</v>
      </c>
      <c r="C1075" t="s">
        <v>9</v>
      </c>
      <c r="D1075">
        <v>1962</v>
      </c>
      <c r="E1075">
        <v>6</v>
      </c>
      <c r="F1075">
        <v>4</v>
      </c>
    </row>
    <row r="1076" spans="1:6" x14ac:dyDescent="0.2">
      <c r="A1076">
        <v>20200731</v>
      </c>
      <c r="B1076" t="s">
        <v>106</v>
      </c>
      <c r="C1076" t="s">
        <v>7</v>
      </c>
      <c r="D1076">
        <v>106</v>
      </c>
      <c r="E1076">
        <v>0</v>
      </c>
      <c r="F1076">
        <v>0</v>
      </c>
    </row>
    <row r="1077" spans="1:6" x14ac:dyDescent="0.2">
      <c r="A1077">
        <v>20200731</v>
      </c>
      <c r="B1077" t="s">
        <v>106</v>
      </c>
      <c r="C1077" t="s">
        <v>9</v>
      </c>
      <c r="D1077">
        <v>97</v>
      </c>
      <c r="E1077">
        <v>0</v>
      </c>
      <c r="F1077">
        <v>0</v>
      </c>
    </row>
    <row r="1078" spans="1:6" x14ac:dyDescent="0.2">
      <c r="A1078">
        <v>20200731</v>
      </c>
      <c r="B1078" t="s">
        <v>75</v>
      </c>
      <c r="C1078" t="s">
        <v>9</v>
      </c>
      <c r="D1078">
        <v>51</v>
      </c>
      <c r="E1078">
        <v>51</v>
      </c>
      <c r="F1078">
        <v>39</v>
      </c>
    </row>
    <row r="1079" spans="1:6" x14ac:dyDescent="0.2">
      <c r="A1079">
        <v>20200731</v>
      </c>
      <c r="B1079" t="s">
        <v>137</v>
      </c>
      <c r="C1079" t="s">
        <v>9</v>
      </c>
      <c r="D1079">
        <v>2</v>
      </c>
      <c r="E1079">
        <v>2</v>
      </c>
      <c r="F1079">
        <v>0</v>
      </c>
    </row>
    <row r="1080" spans="1:6" x14ac:dyDescent="0.2">
      <c r="A1080">
        <v>20200731</v>
      </c>
      <c r="B1080" t="s">
        <v>8</v>
      </c>
      <c r="C1080" t="s">
        <v>9</v>
      </c>
      <c r="D1080">
        <v>3</v>
      </c>
      <c r="E1080">
        <v>3</v>
      </c>
      <c r="F1080">
        <v>0</v>
      </c>
    </row>
    <row r="1081" spans="1:6" x14ac:dyDescent="0.2">
      <c r="A1081">
        <v>20200731</v>
      </c>
      <c r="B1081" t="s">
        <v>103</v>
      </c>
      <c r="C1081" t="s">
        <v>7</v>
      </c>
      <c r="D1081">
        <v>1</v>
      </c>
      <c r="E1081">
        <v>1</v>
      </c>
      <c r="F1081">
        <v>0</v>
      </c>
    </row>
    <row r="1082" spans="1:6" x14ac:dyDescent="0.2">
      <c r="A1082">
        <v>20200731</v>
      </c>
      <c r="B1082" t="s">
        <v>103</v>
      </c>
      <c r="C1082" t="s">
        <v>9</v>
      </c>
      <c r="D1082">
        <v>57</v>
      </c>
      <c r="E1082">
        <v>57</v>
      </c>
      <c r="F1082">
        <v>34</v>
      </c>
    </row>
    <row r="1083" spans="1:6" x14ac:dyDescent="0.2">
      <c r="A1083">
        <v>20200731</v>
      </c>
      <c r="B1083" t="s">
        <v>63</v>
      </c>
      <c r="C1083" t="s">
        <v>7</v>
      </c>
      <c r="D1083">
        <v>5890</v>
      </c>
      <c r="E1083">
        <v>680</v>
      </c>
      <c r="F1083">
        <v>247</v>
      </c>
    </row>
    <row r="1084" spans="1:6" x14ac:dyDescent="0.2">
      <c r="A1084">
        <v>20200731</v>
      </c>
      <c r="B1084" t="s">
        <v>63</v>
      </c>
      <c r="C1084" t="s">
        <v>9</v>
      </c>
      <c r="D1084">
        <v>5885</v>
      </c>
      <c r="E1084">
        <v>626</v>
      </c>
      <c r="F1084">
        <v>220</v>
      </c>
    </row>
    <row r="1085" spans="1:6" x14ac:dyDescent="0.2">
      <c r="A1085">
        <v>20200731</v>
      </c>
      <c r="B1085" t="s">
        <v>109</v>
      </c>
      <c r="C1085" t="s">
        <v>9</v>
      </c>
      <c r="D1085">
        <v>3</v>
      </c>
      <c r="E1085">
        <v>3</v>
      </c>
      <c r="F1085">
        <v>0</v>
      </c>
    </row>
    <row r="1086" spans="1:6" x14ac:dyDescent="0.2">
      <c r="A1086">
        <v>20200731</v>
      </c>
      <c r="B1086" t="s">
        <v>33</v>
      </c>
      <c r="C1086" t="s">
        <v>7</v>
      </c>
      <c r="D1086">
        <v>1</v>
      </c>
      <c r="E1086">
        <v>1</v>
      </c>
      <c r="F1086">
        <v>1</v>
      </c>
    </row>
    <row r="1087" spans="1:6" x14ac:dyDescent="0.2">
      <c r="A1087">
        <v>20200731</v>
      </c>
      <c r="B1087" t="s">
        <v>60</v>
      </c>
      <c r="C1087" t="s">
        <v>9</v>
      </c>
      <c r="D1087">
        <v>2</v>
      </c>
      <c r="E1087">
        <v>2</v>
      </c>
      <c r="F1087">
        <v>0</v>
      </c>
    </row>
    <row r="1088" spans="1:6" x14ac:dyDescent="0.2">
      <c r="A1088">
        <v>20200731</v>
      </c>
      <c r="B1088" t="s">
        <v>78</v>
      </c>
      <c r="C1088" t="s">
        <v>7</v>
      </c>
      <c r="D1088">
        <v>757</v>
      </c>
      <c r="E1088">
        <v>757</v>
      </c>
      <c r="F1088">
        <v>378</v>
      </c>
    </row>
    <row r="1089" spans="1:6" x14ac:dyDescent="0.2">
      <c r="A1089">
        <v>20200731</v>
      </c>
      <c r="B1089" t="s">
        <v>78</v>
      </c>
      <c r="C1089" t="s">
        <v>9</v>
      </c>
      <c r="D1089">
        <v>219</v>
      </c>
      <c r="E1089">
        <v>219</v>
      </c>
      <c r="F1089">
        <v>103</v>
      </c>
    </row>
    <row r="1090" spans="1:6" x14ac:dyDescent="0.2">
      <c r="A1090">
        <v>20200731</v>
      </c>
      <c r="B1090" t="s">
        <v>83</v>
      </c>
      <c r="C1090" t="s">
        <v>7</v>
      </c>
      <c r="D1090">
        <v>212</v>
      </c>
      <c r="E1090">
        <v>212</v>
      </c>
      <c r="F1090">
        <v>118</v>
      </c>
    </row>
    <row r="1091" spans="1:6" x14ac:dyDescent="0.2">
      <c r="A1091">
        <v>20200731</v>
      </c>
      <c r="B1091" t="s">
        <v>83</v>
      </c>
      <c r="C1091" t="s">
        <v>9</v>
      </c>
      <c r="D1091">
        <v>148</v>
      </c>
      <c r="E1091">
        <v>148</v>
      </c>
      <c r="F1091">
        <v>75</v>
      </c>
    </row>
    <row r="1092" spans="1:6" x14ac:dyDescent="0.2">
      <c r="A1092">
        <v>20200731</v>
      </c>
      <c r="B1092" t="s">
        <v>104</v>
      </c>
      <c r="C1092" t="s">
        <v>7</v>
      </c>
      <c r="D1092">
        <v>134</v>
      </c>
      <c r="E1092">
        <v>134</v>
      </c>
      <c r="F1092">
        <v>67</v>
      </c>
    </row>
    <row r="1093" spans="1:6" x14ac:dyDescent="0.2">
      <c r="A1093">
        <v>20200731</v>
      </c>
      <c r="B1093" t="s">
        <v>104</v>
      </c>
      <c r="C1093" t="s">
        <v>9</v>
      </c>
      <c r="D1093">
        <v>952</v>
      </c>
      <c r="E1093">
        <v>952</v>
      </c>
      <c r="F1093">
        <v>488</v>
      </c>
    </row>
    <row r="1094" spans="1:6" x14ac:dyDescent="0.2">
      <c r="A1094">
        <v>20200731</v>
      </c>
      <c r="B1094" t="s">
        <v>42</v>
      </c>
      <c r="C1094" t="s">
        <v>9</v>
      </c>
      <c r="D1094">
        <v>2</v>
      </c>
      <c r="E1094">
        <v>2</v>
      </c>
      <c r="F1094">
        <v>0</v>
      </c>
    </row>
    <row r="1095" spans="1:6" x14ac:dyDescent="0.2">
      <c r="A1095">
        <v>20200731</v>
      </c>
      <c r="B1095" t="s">
        <v>125</v>
      </c>
      <c r="C1095" t="s">
        <v>9</v>
      </c>
      <c r="D1095">
        <v>181</v>
      </c>
      <c r="E1095">
        <v>181</v>
      </c>
      <c r="F1095">
        <v>136</v>
      </c>
    </row>
    <row r="1096" spans="1:6" x14ac:dyDescent="0.2">
      <c r="A1096">
        <v>20200731</v>
      </c>
      <c r="B1096" t="s">
        <v>107</v>
      </c>
      <c r="C1096" t="s">
        <v>7</v>
      </c>
      <c r="D1096">
        <v>22</v>
      </c>
      <c r="E1096">
        <v>22</v>
      </c>
      <c r="F1096">
        <v>13</v>
      </c>
    </row>
    <row r="1097" spans="1:6" x14ac:dyDescent="0.2">
      <c r="A1097">
        <v>20200731</v>
      </c>
      <c r="B1097" t="s">
        <v>107</v>
      </c>
      <c r="C1097" t="s">
        <v>9</v>
      </c>
      <c r="D1097">
        <v>5</v>
      </c>
      <c r="E1097">
        <v>5</v>
      </c>
      <c r="F1097">
        <v>3</v>
      </c>
    </row>
    <row r="1098" spans="1:6" x14ac:dyDescent="0.2">
      <c r="A1098">
        <v>20200731</v>
      </c>
      <c r="B1098" t="s">
        <v>48</v>
      </c>
      <c r="C1098" t="s">
        <v>9</v>
      </c>
      <c r="D1098">
        <v>438</v>
      </c>
      <c r="E1098">
        <v>438</v>
      </c>
      <c r="F1098">
        <v>280</v>
      </c>
    </row>
    <row r="1099" spans="1:6" x14ac:dyDescent="0.2">
      <c r="A1099">
        <v>20200731</v>
      </c>
      <c r="B1099" t="s">
        <v>24</v>
      </c>
      <c r="C1099" t="s">
        <v>7</v>
      </c>
      <c r="D1099">
        <v>17</v>
      </c>
      <c r="E1099">
        <v>8</v>
      </c>
      <c r="F1099">
        <v>1</v>
      </c>
    </row>
    <row r="1100" spans="1:6" x14ac:dyDescent="0.2">
      <c r="A1100">
        <v>20200731</v>
      </c>
      <c r="B1100" t="s">
        <v>24</v>
      </c>
      <c r="C1100" t="s">
        <v>9</v>
      </c>
      <c r="D1100">
        <v>468</v>
      </c>
      <c r="E1100">
        <v>300</v>
      </c>
      <c r="F1100">
        <v>32</v>
      </c>
    </row>
    <row r="1101" spans="1:6" x14ac:dyDescent="0.2">
      <c r="A1101">
        <v>20200731</v>
      </c>
      <c r="B1101" t="s">
        <v>93</v>
      </c>
      <c r="C1101" t="s">
        <v>7</v>
      </c>
      <c r="D1101">
        <v>1017</v>
      </c>
      <c r="E1101">
        <v>1017</v>
      </c>
      <c r="F1101">
        <v>742</v>
      </c>
    </row>
    <row r="1102" spans="1:6" x14ac:dyDescent="0.2">
      <c r="A1102">
        <v>20200731</v>
      </c>
      <c r="B1102" t="s">
        <v>93</v>
      </c>
      <c r="C1102" t="s">
        <v>9</v>
      </c>
      <c r="D1102">
        <v>614</v>
      </c>
      <c r="E1102">
        <v>614</v>
      </c>
      <c r="F1102">
        <v>466</v>
      </c>
    </row>
    <row r="1103" spans="1:6" x14ac:dyDescent="0.2">
      <c r="A1103">
        <v>20200731</v>
      </c>
      <c r="B1103" t="s">
        <v>30</v>
      </c>
      <c r="C1103" t="s">
        <v>9</v>
      </c>
      <c r="D1103">
        <v>38</v>
      </c>
      <c r="E1103">
        <v>38</v>
      </c>
      <c r="F1103">
        <v>26</v>
      </c>
    </row>
    <row r="1104" spans="1:6" x14ac:dyDescent="0.2">
      <c r="A1104">
        <v>20200731</v>
      </c>
      <c r="B1104" t="s">
        <v>67</v>
      </c>
      <c r="C1104" t="s">
        <v>9</v>
      </c>
      <c r="D1104">
        <v>3</v>
      </c>
      <c r="E1104">
        <v>3</v>
      </c>
      <c r="F1104">
        <v>0</v>
      </c>
    </row>
    <row r="1105" spans="1:6" x14ac:dyDescent="0.2">
      <c r="A1105">
        <v>20200731</v>
      </c>
      <c r="B1105" t="s">
        <v>22</v>
      </c>
      <c r="C1105" t="s">
        <v>7</v>
      </c>
      <c r="D1105">
        <v>2482</v>
      </c>
      <c r="E1105">
        <v>2482</v>
      </c>
      <c r="F1105">
        <v>1831</v>
      </c>
    </row>
    <row r="1106" spans="1:6" x14ac:dyDescent="0.2">
      <c r="A1106">
        <v>20200731</v>
      </c>
      <c r="B1106" t="s">
        <v>22</v>
      </c>
      <c r="C1106" t="s">
        <v>9</v>
      </c>
      <c r="D1106">
        <v>1972</v>
      </c>
      <c r="E1106">
        <v>1972</v>
      </c>
      <c r="F1106">
        <v>1507</v>
      </c>
    </row>
    <row r="1107" spans="1:6" x14ac:dyDescent="0.2">
      <c r="A1107">
        <v>20200731</v>
      </c>
      <c r="B1107" t="s">
        <v>15</v>
      </c>
      <c r="C1107" t="s">
        <v>9</v>
      </c>
      <c r="D1107">
        <v>634</v>
      </c>
      <c r="E1107">
        <v>634</v>
      </c>
      <c r="F1107">
        <v>482</v>
      </c>
    </row>
    <row r="1108" spans="1:6" x14ac:dyDescent="0.2">
      <c r="A1108">
        <v>20200731</v>
      </c>
      <c r="B1108" t="s">
        <v>55</v>
      </c>
      <c r="C1108" t="s">
        <v>9</v>
      </c>
      <c r="D1108">
        <v>1195</v>
      </c>
      <c r="E1108">
        <v>1194</v>
      </c>
      <c r="F1108">
        <v>837</v>
      </c>
    </row>
    <row r="1109" spans="1:6" x14ac:dyDescent="0.2">
      <c r="A1109">
        <v>20200731</v>
      </c>
      <c r="B1109" t="s">
        <v>10</v>
      </c>
      <c r="C1109" t="s">
        <v>9</v>
      </c>
      <c r="D1109">
        <v>2</v>
      </c>
      <c r="E1109">
        <v>2</v>
      </c>
      <c r="F1109">
        <v>0</v>
      </c>
    </row>
    <row r="1110" spans="1:6" x14ac:dyDescent="0.2">
      <c r="A1110">
        <v>20200731</v>
      </c>
      <c r="B1110" t="s">
        <v>111</v>
      </c>
      <c r="C1110" t="s">
        <v>9</v>
      </c>
      <c r="D1110">
        <v>227</v>
      </c>
      <c r="E1110">
        <v>227</v>
      </c>
      <c r="F1110">
        <v>140</v>
      </c>
    </row>
    <row r="1111" spans="1:6" x14ac:dyDescent="0.2">
      <c r="A1111">
        <v>20200731</v>
      </c>
      <c r="B1111" t="s">
        <v>46</v>
      </c>
      <c r="C1111" t="s">
        <v>9</v>
      </c>
      <c r="D1111">
        <v>513</v>
      </c>
      <c r="E1111">
        <v>513</v>
      </c>
      <c r="F1111">
        <v>426</v>
      </c>
    </row>
    <row r="1112" spans="1:6" x14ac:dyDescent="0.2">
      <c r="A1112">
        <v>20200731</v>
      </c>
      <c r="C1112" t="s">
        <v>7</v>
      </c>
      <c r="D1112">
        <v>8673</v>
      </c>
      <c r="E1112">
        <v>0</v>
      </c>
      <c r="F1112">
        <v>0</v>
      </c>
    </row>
    <row r="1113" spans="1:6" x14ac:dyDescent="0.2">
      <c r="A1113">
        <v>20200731</v>
      </c>
      <c r="C1113" t="s">
        <v>9</v>
      </c>
      <c r="D1113">
        <v>9428</v>
      </c>
      <c r="E1113">
        <v>0</v>
      </c>
      <c r="F1113">
        <v>0</v>
      </c>
    </row>
    <row r="1114" spans="1:6" x14ac:dyDescent="0.2">
      <c r="A1114">
        <v>20200801</v>
      </c>
      <c r="B1114" t="s">
        <v>124</v>
      </c>
      <c r="C1114" t="s">
        <v>9</v>
      </c>
      <c r="D1114">
        <v>1</v>
      </c>
      <c r="E1114">
        <v>0</v>
      </c>
      <c r="F1114">
        <v>0</v>
      </c>
    </row>
    <row r="1115" spans="1:6" x14ac:dyDescent="0.2">
      <c r="A1115">
        <v>20200801</v>
      </c>
      <c r="B1115" t="s">
        <v>82</v>
      </c>
      <c r="C1115" t="s">
        <v>7</v>
      </c>
      <c r="D1115">
        <v>7600</v>
      </c>
      <c r="E1115">
        <v>7600</v>
      </c>
      <c r="F1115">
        <v>4467</v>
      </c>
    </row>
    <row r="1116" spans="1:6" x14ac:dyDescent="0.2">
      <c r="A1116">
        <v>20200801</v>
      </c>
      <c r="B1116" t="s">
        <v>82</v>
      </c>
      <c r="C1116" t="s">
        <v>9</v>
      </c>
      <c r="D1116">
        <v>2388</v>
      </c>
      <c r="E1116">
        <v>2388</v>
      </c>
      <c r="F1116">
        <v>1466</v>
      </c>
    </row>
    <row r="1117" spans="1:6" x14ac:dyDescent="0.2">
      <c r="A1117">
        <v>20200801</v>
      </c>
      <c r="B1117" t="s">
        <v>34</v>
      </c>
      <c r="C1117" t="s">
        <v>7</v>
      </c>
      <c r="D1117">
        <v>2135</v>
      </c>
      <c r="E1117">
        <v>1561</v>
      </c>
      <c r="F1117">
        <v>846</v>
      </c>
    </row>
    <row r="1118" spans="1:6" x14ac:dyDescent="0.2">
      <c r="A1118">
        <v>20200801</v>
      </c>
      <c r="B1118" t="s">
        <v>34</v>
      </c>
      <c r="C1118" t="s">
        <v>9</v>
      </c>
      <c r="D1118">
        <v>900</v>
      </c>
      <c r="E1118">
        <v>668</v>
      </c>
      <c r="F1118">
        <v>376</v>
      </c>
    </row>
    <row r="1119" spans="1:6" x14ac:dyDescent="0.2">
      <c r="A1119">
        <v>20200801</v>
      </c>
      <c r="B1119" t="s">
        <v>94</v>
      </c>
      <c r="C1119" t="s">
        <v>9</v>
      </c>
      <c r="D1119">
        <v>61</v>
      </c>
      <c r="E1119">
        <v>61</v>
      </c>
      <c r="F1119">
        <v>41</v>
      </c>
    </row>
    <row r="1120" spans="1:6" x14ac:dyDescent="0.2">
      <c r="A1120">
        <v>20200801</v>
      </c>
      <c r="B1120" t="s">
        <v>69</v>
      </c>
      <c r="C1120" t="s">
        <v>9</v>
      </c>
      <c r="D1120">
        <v>1</v>
      </c>
      <c r="E1120">
        <v>0</v>
      </c>
      <c r="F1120">
        <v>0</v>
      </c>
    </row>
    <row r="1121" spans="1:6" x14ac:dyDescent="0.2">
      <c r="A1121">
        <v>20200801</v>
      </c>
      <c r="B1121" t="s">
        <v>123</v>
      </c>
      <c r="C1121" t="s">
        <v>7</v>
      </c>
      <c r="D1121">
        <v>1</v>
      </c>
      <c r="E1121">
        <v>1</v>
      </c>
      <c r="F1121">
        <v>0</v>
      </c>
    </row>
    <row r="1122" spans="1:6" x14ac:dyDescent="0.2">
      <c r="A1122">
        <v>20200801</v>
      </c>
      <c r="B1122" t="s">
        <v>101</v>
      </c>
      <c r="C1122" t="s">
        <v>9</v>
      </c>
      <c r="D1122">
        <v>1</v>
      </c>
      <c r="E1122">
        <v>1</v>
      </c>
      <c r="F1122">
        <v>1</v>
      </c>
    </row>
    <row r="1123" spans="1:6" x14ac:dyDescent="0.2">
      <c r="A1123">
        <v>20200801</v>
      </c>
      <c r="B1123" t="s">
        <v>129</v>
      </c>
      <c r="C1123" t="s">
        <v>7</v>
      </c>
      <c r="D1123">
        <v>1</v>
      </c>
      <c r="E1123">
        <v>0</v>
      </c>
      <c r="F1123">
        <v>0</v>
      </c>
    </row>
    <row r="1124" spans="1:6" x14ac:dyDescent="0.2">
      <c r="A1124">
        <v>20200801</v>
      </c>
      <c r="B1124" t="s">
        <v>31</v>
      </c>
      <c r="C1124" t="s">
        <v>7</v>
      </c>
      <c r="D1124">
        <v>287</v>
      </c>
      <c r="E1124">
        <v>236</v>
      </c>
      <c r="F1124">
        <v>62</v>
      </c>
    </row>
    <row r="1125" spans="1:6" x14ac:dyDescent="0.2">
      <c r="A1125">
        <v>20200801</v>
      </c>
      <c r="B1125" t="s">
        <v>31</v>
      </c>
      <c r="C1125" t="s">
        <v>9</v>
      </c>
      <c r="D1125">
        <v>631</v>
      </c>
      <c r="E1125">
        <v>492</v>
      </c>
      <c r="F1125">
        <v>126</v>
      </c>
    </row>
    <row r="1126" spans="1:6" x14ac:dyDescent="0.2">
      <c r="A1126">
        <v>20200801</v>
      </c>
      <c r="B1126" t="s">
        <v>11</v>
      </c>
      <c r="C1126" t="s">
        <v>7</v>
      </c>
      <c r="D1126">
        <v>17110</v>
      </c>
      <c r="E1126">
        <v>1</v>
      </c>
      <c r="F1126">
        <v>0</v>
      </c>
    </row>
    <row r="1127" spans="1:6" x14ac:dyDescent="0.2">
      <c r="A1127">
        <v>20200801</v>
      </c>
      <c r="B1127" t="s">
        <v>11</v>
      </c>
      <c r="C1127" t="s">
        <v>9</v>
      </c>
      <c r="D1127">
        <v>17358</v>
      </c>
      <c r="E1127">
        <v>3</v>
      </c>
      <c r="F1127">
        <v>1</v>
      </c>
    </row>
    <row r="1128" spans="1:6" x14ac:dyDescent="0.2">
      <c r="A1128">
        <v>20200801</v>
      </c>
      <c r="B1128" t="s">
        <v>16</v>
      </c>
      <c r="C1128" t="s">
        <v>7</v>
      </c>
      <c r="D1128">
        <v>704</v>
      </c>
      <c r="E1128">
        <v>704</v>
      </c>
      <c r="F1128">
        <v>519</v>
      </c>
    </row>
    <row r="1129" spans="1:6" x14ac:dyDescent="0.2">
      <c r="A1129">
        <v>20200801</v>
      </c>
      <c r="B1129" t="s">
        <v>16</v>
      </c>
      <c r="C1129" t="s">
        <v>9</v>
      </c>
      <c r="D1129">
        <v>910</v>
      </c>
      <c r="E1129">
        <v>910</v>
      </c>
      <c r="F1129">
        <v>674</v>
      </c>
    </row>
    <row r="1130" spans="1:6" x14ac:dyDescent="0.2">
      <c r="A1130">
        <v>20200801</v>
      </c>
      <c r="B1130" t="s">
        <v>120</v>
      </c>
      <c r="C1130" t="s">
        <v>9</v>
      </c>
      <c r="D1130">
        <v>1</v>
      </c>
      <c r="E1130">
        <v>1</v>
      </c>
      <c r="F1130">
        <v>0</v>
      </c>
    </row>
    <row r="1131" spans="1:6" x14ac:dyDescent="0.2">
      <c r="A1131">
        <v>20200801</v>
      </c>
      <c r="B1131" t="s">
        <v>6</v>
      </c>
      <c r="C1131" t="s">
        <v>7</v>
      </c>
      <c r="D1131">
        <v>834</v>
      </c>
      <c r="E1131">
        <v>465</v>
      </c>
      <c r="F1131">
        <v>333</v>
      </c>
    </row>
    <row r="1132" spans="1:6" x14ac:dyDescent="0.2">
      <c r="A1132">
        <v>20200801</v>
      </c>
      <c r="B1132" t="s">
        <v>6</v>
      </c>
      <c r="C1132" t="s">
        <v>9</v>
      </c>
      <c r="D1132">
        <v>5437</v>
      </c>
      <c r="E1132">
        <v>2778</v>
      </c>
      <c r="F1132">
        <v>2129</v>
      </c>
    </row>
    <row r="1133" spans="1:6" x14ac:dyDescent="0.2">
      <c r="A1133">
        <v>20200801</v>
      </c>
      <c r="B1133" t="s">
        <v>27</v>
      </c>
      <c r="C1133" t="s">
        <v>9</v>
      </c>
      <c r="D1133">
        <v>117</v>
      </c>
      <c r="E1133">
        <v>117</v>
      </c>
      <c r="F1133">
        <v>72</v>
      </c>
    </row>
    <row r="1134" spans="1:6" x14ac:dyDescent="0.2">
      <c r="A1134">
        <v>20200801</v>
      </c>
      <c r="B1134" t="s">
        <v>142</v>
      </c>
      <c r="C1134" t="s">
        <v>7</v>
      </c>
      <c r="D1134">
        <v>3</v>
      </c>
      <c r="E1134">
        <v>2</v>
      </c>
      <c r="F1134">
        <v>0</v>
      </c>
    </row>
    <row r="1135" spans="1:6" x14ac:dyDescent="0.2">
      <c r="A1135">
        <v>20200801</v>
      </c>
      <c r="B1135" t="s">
        <v>142</v>
      </c>
      <c r="C1135" t="s">
        <v>9</v>
      </c>
      <c r="D1135">
        <v>622</v>
      </c>
      <c r="E1135">
        <v>459</v>
      </c>
      <c r="F1135">
        <v>193</v>
      </c>
    </row>
    <row r="1136" spans="1:6" x14ac:dyDescent="0.2">
      <c r="A1136">
        <v>20200801</v>
      </c>
      <c r="B1136" t="s">
        <v>35</v>
      </c>
      <c r="C1136" t="s">
        <v>9</v>
      </c>
      <c r="D1136">
        <v>284</v>
      </c>
      <c r="E1136">
        <v>284</v>
      </c>
      <c r="F1136">
        <v>136</v>
      </c>
    </row>
    <row r="1137" spans="1:6" x14ac:dyDescent="0.2">
      <c r="A1137">
        <v>20200801</v>
      </c>
      <c r="B1137" t="s">
        <v>84</v>
      </c>
      <c r="C1137" t="s">
        <v>9</v>
      </c>
      <c r="D1137">
        <v>460</v>
      </c>
      <c r="E1137">
        <v>460</v>
      </c>
      <c r="F1137">
        <v>293</v>
      </c>
    </row>
    <row r="1138" spans="1:6" x14ac:dyDescent="0.2">
      <c r="A1138">
        <v>20200801</v>
      </c>
      <c r="B1138" t="s">
        <v>61</v>
      </c>
      <c r="C1138" t="s">
        <v>9</v>
      </c>
      <c r="D1138">
        <v>1</v>
      </c>
      <c r="E1138">
        <v>1</v>
      </c>
      <c r="F1138">
        <v>0</v>
      </c>
    </row>
    <row r="1139" spans="1:6" x14ac:dyDescent="0.2">
      <c r="A1139">
        <v>20200801</v>
      </c>
      <c r="B1139" t="s">
        <v>20</v>
      </c>
      <c r="C1139" t="s">
        <v>7</v>
      </c>
      <c r="D1139">
        <v>334</v>
      </c>
      <c r="E1139">
        <v>181</v>
      </c>
      <c r="F1139">
        <v>113</v>
      </c>
    </row>
    <row r="1140" spans="1:6" x14ac:dyDescent="0.2">
      <c r="A1140">
        <v>20200801</v>
      </c>
      <c r="B1140" t="s">
        <v>20</v>
      </c>
      <c r="C1140" t="s">
        <v>9</v>
      </c>
      <c r="D1140">
        <v>535</v>
      </c>
      <c r="E1140">
        <v>319</v>
      </c>
      <c r="F1140">
        <v>186</v>
      </c>
    </row>
    <row r="1141" spans="1:6" x14ac:dyDescent="0.2">
      <c r="A1141">
        <v>20200801</v>
      </c>
      <c r="B1141" t="s">
        <v>52</v>
      </c>
      <c r="C1141" t="s">
        <v>7</v>
      </c>
      <c r="D1141">
        <v>103</v>
      </c>
      <c r="E1141">
        <v>0</v>
      </c>
      <c r="F1141">
        <v>0</v>
      </c>
    </row>
    <row r="1142" spans="1:6" x14ac:dyDescent="0.2">
      <c r="A1142">
        <v>20200801</v>
      </c>
      <c r="B1142" t="s">
        <v>52</v>
      </c>
      <c r="C1142" t="s">
        <v>9</v>
      </c>
      <c r="D1142">
        <v>90</v>
      </c>
      <c r="E1142">
        <v>0</v>
      </c>
      <c r="F1142">
        <v>0</v>
      </c>
    </row>
    <row r="1143" spans="1:6" x14ac:dyDescent="0.2">
      <c r="A1143">
        <v>20200801</v>
      </c>
      <c r="B1143" t="s">
        <v>38</v>
      </c>
      <c r="C1143" t="s">
        <v>7</v>
      </c>
      <c r="D1143">
        <v>2135</v>
      </c>
      <c r="E1143">
        <v>2135</v>
      </c>
      <c r="F1143">
        <v>1131</v>
      </c>
    </row>
    <row r="1144" spans="1:6" x14ac:dyDescent="0.2">
      <c r="A1144">
        <v>20200801</v>
      </c>
      <c r="B1144" t="s">
        <v>38</v>
      </c>
      <c r="C1144" t="s">
        <v>9</v>
      </c>
      <c r="D1144">
        <v>1936</v>
      </c>
      <c r="E1144">
        <v>1936</v>
      </c>
      <c r="F1144">
        <v>1028</v>
      </c>
    </row>
    <row r="1145" spans="1:6" x14ac:dyDescent="0.2">
      <c r="A1145">
        <v>20200801</v>
      </c>
      <c r="B1145" t="s">
        <v>25</v>
      </c>
      <c r="C1145" t="s">
        <v>9</v>
      </c>
      <c r="D1145">
        <v>759</v>
      </c>
      <c r="E1145">
        <v>759</v>
      </c>
      <c r="F1145">
        <v>571</v>
      </c>
    </row>
    <row r="1146" spans="1:6" x14ac:dyDescent="0.2">
      <c r="A1146">
        <v>20200801</v>
      </c>
      <c r="B1146" t="s">
        <v>72</v>
      </c>
      <c r="C1146" t="s">
        <v>7</v>
      </c>
      <c r="D1146">
        <v>1</v>
      </c>
      <c r="E1146">
        <v>1</v>
      </c>
      <c r="F1146">
        <v>1</v>
      </c>
    </row>
    <row r="1147" spans="1:6" x14ac:dyDescent="0.2">
      <c r="A1147">
        <v>20200801</v>
      </c>
      <c r="B1147" t="s">
        <v>72</v>
      </c>
      <c r="C1147" t="s">
        <v>9</v>
      </c>
      <c r="D1147">
        <v>1</v>
      </c>
      <c r="E1147">
        <v>1</v>
      </c>
      <c r="F1147">
        <v>1</v>
      </c>
    </row>
    <row r="1148" spans="1:6" x14ac:dyDescent="0.2">
      <c r="A1148">
        <v>20200801</v>
      </c>
      <c r="B1148" t="s">
        <v>28</v>
      </c>
      <c r="C1148" t="s">
        <v>9</v>
      </c>
      <c r="D1148">
        <v>69</v>
      </c>
      <c r="E1148">
        <v>69</v>
      </c>
      <c r="F1148">
        <v>55</v>
      </c>
    </row>
    <row r="1149" spans="1:6" x14ac:dyDescent="0.2">
      <c r="A1149">
        <v>20200801</v>
      </c>
      <c r="B1149" t="s">
        <v>66</v>
      </c>
      <c r="C1149" t="s">
        <v>7</v>
      </c>
      <c r="D1149">
        <v>1</v>
      </c>
      <c r="E1149">
        <v>0</v>
      </c>
      <c r="F1149">
        <v>0</v>
      </c>
    </row>
    <row r="1150" spans="1:6" x14ac:dyDescent="0.2">
      <c r="A1150">
        <v>20200801</v>
      </c>
      <c r="B1150" t="s">
        <v>66</v>
      </c>
      <c r="C1150" t="s">
        <v>9</v>
      </c>
      <c r="D1150">
        <v>9</v>
      </c>
      <c r="E1150">
        <v>2</v>
      </c>
      <c r="F1150">
        <v>0</v>
      </c>
    </row>
    <row r="1151" spans="1:6" x14ac:dyDescent="0.2">
      <c r="A1151">
        <v>20200801</v>
      </c>
      <c r="B1151" t="s">
        <v>99</v>
      </c>
      <c r="C1151" t="s">
        <v>9</v>
      </c>
      <c r="D1151">
        <v>36</v>
      </c>
      <c r="E1151">
        <v>36</v>
      </c>
      <c r="F1151">
        <v>21</v>
      </c>
    </row>
    <row r="1152" spans="1:6" x14ac:dyDescent="0.2">
      <c r="A1152">
        <v>20200801</v>
      </c>
      <c r="B1152" t="s">
        <v>44</v>
      </c>
      <c r="C1152" t="s">
        <v>9</v>
      </c>
      <c r="D1152">
        <v>1</v>
      </c>
      <c r="E1152">
        <v>1</v>
      </c>
      <c r="F1152">
        <v>0</v>
      </c>
    </row>
    <row r="1153" spans="1:6" x14ac:dyDescent="0.2">
      <c r="A1153">
        <v>20200801</v>
      </c>
      <c r="B1153" t="s">
        <v>97</v>
      </c>
      <c r="C1153" t="s">
        <v>9</v>
      </c>
      <c r="D1153">
        <v>1</v>
      </c>
      <c r="E1153">
        <v>1</v>
      </c>
      <c r="F1153">
        <v>0</v>
      </c>
    </row>
    <row r="1154" spans="1:6" x14ac:dyDescent="0.2">
      <c r="A1154">
        <v>20200801</v>
      </c>
      <c r="B1154" t="s">
        <v>76</v>
      </c>
      <c r="C1154" t="s">
        <v>7</v>
      </c>
      <c r="D1154">
        <v>783</v>
      </c>
      <c r="E1154">
        <v>783</v>
      </c>
      <c r="F1154">
        <v>562</v>
      </c>
    </row>
    <row r="1155" spans="1:6" x14ac:dyDescent="0.2">
      <c r="A1155">
        <v>20200801</v>
      </c>
      <c r="B1155" t="s">
        <v>76</v>
      </c>
      <c r="C1155" t="s">
        <v>9</v>
      </c>
      <c r="D1155">
        <v>355</v>
      </c>
      <c r="E1155">
        <v>355</v>
      </c>
      <c r="F1155">
        <v>262</v>
      </c>
    </row>
    <row r="1156" spans="1:6" x14ac:dyDescent="0.2">
      <c r="A1156">
        <v>20200801</v>
      </c>
      <c r="B1156" t="s">
        <v>62</v>
      </c>
      <c r="C1156" t="s">
        <v>9</v>
      </c>
      <c r="D1156">
        <v>31</v>
      </c>
      <c r="E1156">
        <v>22</v>
      </c>
      <c r="F1156">
        <v>10</v>
      </c>
    </row>
    <row r="1157" spans="1:6" x14ac:dyDescent="0.2">
      <c r="A1157">
        <v>20200801</v>
      </c>
      <c r="B1157" t="s">
        <v>118</v>
      </c>
      <c r="C1157" t="s">
        <v>7</v>
      </c>
      <c r="D1157">
        <v>209</v>
      </c>
      <c r="E1157">
        <v>1</v>
      </c>
      <c r="F1157">
        <v>0</v>
      </c>
    </row>
    <row r="1158" spans="1:6" x14ac:dyDescent="0.2">
      <c r="A1158">
        <v>20200801</v>
      </c>
      <c r="B1158" t="s">
        <v>118</v>
      </c>
      <c r="C1158" t="s">
        <v>9</v>
      </c>
      <c r="D1158">
        <v>187</v>
      </c>
      <c r="E1158">
        <v>6</v>
      </c>
      <c r="F1158">
        <v>4</v>
      </c>
    </row>
    <row r="1159" spans="1:6" x14ac:dyDescent="0.2">
      <c r="A1159">
        <v>20200801</v>
      </c>
      <c r="B1159" t="s">
        <v>12</v>
      </c>
      <c r="C1159" t="s">
        <v>7</v>
      </c>
      <c r="D1159">
        <v>1</v>
      </c>
      <c r="E1159">
        <v>1</v>
      </c>
      <c r="F1159">
        <v>1</v>
      </c>
    </row>
    <row r="1160" spans="1:6" x14ac:dyDescent="0.2">
      <c r="A1160">
        <v>20200801</v>
      </c>
      <c r="B1160" t="s">
        <v>12</v>
      </c>
      <c r="C1160" t="s">
        <v>9</v>
      </c>
      <c r="D1160">
        <v>3</v>
      </c>
      <c r="E1160">
        <v>3</v>
      </c>
      <c r="F1160">
        <v>2</v>
      </c>
    </row>
    <row r="1161" spans="1:6" x14ac:dyDescent="0.2">
      <c r="A1161">
        <v>20200801</v>
      </c>
      <c r="B1161" t="s">
        <v>53</v>
      </c>
      <c r="C1161" t="s">
        <v>9</v>
      </c>
      <c r="D1161">
        <v>104</v>
      </c>
      <c r="E1161">
        <v>104</v>
      </c>
      <c r="F1161">
        <v>74</v>
      </c>
    </row>
    <row r="1162" spans="1:6" x14ac:dyDescent="0.2">
      <c r="A1162">
        <v>20200801</v>
      </c>
      <c r="B1162" t="s">
        <v>95</v>
      </c>
      <c r="C1162" t="s">
        <v>7</v>
      </c>
      <c r="D1162">
        <v>402</v>
      </c>
      <c r="E1162">
        <v>402</v>
      </c>
      <c r="F1162">
        <v>221</v>
      </c>
    </row>
    <row r="1163" spans="1:6" x14ac:dyDescent="0.2">
      <c r="A1163">
        <v>20200801</v>
      </c>
      <c r="B1163" t="s">
        <v>95</v>
      </c>
      <c r="C1163" t="s">
        <v>9</v>
      </c>
      <c r="D1163">
        <v>265</v>
      </c>
      <c r="E1163">
        <v>265</v>
      </c>
      <c r="F1163">
        <v>142</v>
      </c>
    </row>
    <row r="1164" spans="1:6" x14ac:dyDescent="0.2">
      <c r="A1164">
        <v>20200801</v>
      </c>
      <c r="B1164" t="s">
        <v>64</v>
      </c>
      <c r="C1164" t="s">
        <v>9</v>
      </c>
      <c r="D1164">
        <v>1372</v>
      </c>
      <c r="E1164">
        <v>1372</v>
      </c>
      <c r="F1164">
        <v>1004</v>
      </c>
    </row>
    <row r="1165" spans="1:6" x14ac:dyDescent="0.2">
      <c r="A1165">
        <v>20200801</v>
      </c>
      <c r="B1165" t="s">
        <v>85</v>
      </c>
      <c r="C1165" t="s">
        <v>9</v>
      </c>
      <c r="D1165">
        <v>2020</v>
      </c>
      <c r="E1165">
        <v>1584</v>
      </c>
      <c r="F1165">
        <v>824</v>
      </c>
    </row>
    <row r="1166" spans="1:6" x14ac:dyDescent="0.2">
      <c r="A1166">
        <v>20200801</v>
      </c>
      <c r="B1166" t="s">
        <v>126</v>
      </c>
      <c r="C1166" t="s">
        <v>9</v>
      </c>
      <c r="D1166">
        <v>1</v>
      </c>
      <c r="E1166">
        <v>1</v>
      </c>
      <c r="F1166">
        <v>0</v>
      </c>
    </row>
    <row r="1167" spans="1:6" x14ac:dyDescent="0.2">
      <c r="A1167">
        <v>20200801</v>
      </c>
      <c r="B1167" t="s">
        <v>116</v>
      </c>
      <c r="C1167" t="s">
        <v>7</v>
      </c>
      <c r="D1167">
        <v>1</v>
      </c>
      <c r="E1167">
        <v>0</v>
      </c>
      <c r="F1167">
        <v>0</v>
      </c>
    </row>
    <row r="1168" spans="1:6" x14ac:dyDescent="0.2">
      <c r="A1168">
        <v>20200801</v>
      </c>
      <c r="B1168" t="s">
        <v>65</v>
      </c>
      <c r="C1168" t="s">
        <v>7</v>
      </c>
      <c r="D1168">
        <v>53</v>
      </c>
      <c r="E1168">
        <v>53</v>
      </c>
      <c r="F1168">
        <v>37</v>
      </c>
    </row>
    <row r="1169" spans="1:6" x14ac:dyDescent="0.2">
      <c r="A1169">
        <v>20200801</v>
      </c>
      <c r="B1169" t="s">
        <v>65</v>
      </c>
      <c r="C1169" t="s">
        <v>9</v>
      </c>
      <c r="D1169">
        <v>639</v>
      </c>
      <c r="E1169">
        <v>639</v>
      </c>
      <c r="F1169">
        <v>452</v>
      </c>
    </row>
    <row r="1170" spans="1:6" x14ac:dyDescent="0.2">
      <c r="A1170">
        <v>20200801</v>
      </c>
      <c r="B1170" t="s">
        <v>117</v>
      </c>
      <c r="C1170" t="s">
        <v>9</v>
      </c>
      <c r="D1170">
        <v>79</v>
      </c>
      <c r="E1170">
        <v>79</v>
      </c>
      <c r="F1170">
        <v>55</v>
      </c>
    </row>
    <row r="1171" spans="1:6" x14ac:dyDescent="0.2">
      <c r="A1171">
        <v>20200801</v>
      </c>
      <c r="B1171" t="s">
        <v>13</v>
      </c>
      <c r="C1171" t="s">
        <v>7</v>
      </c>
      <c r="D1171">
        <v>1130</v>
      </c>
      <c r="E1171">
        <v>1130</v>
      </c>
      <c r="F1171">
        <v>822</v>
      </c>
    </row>
    <row r="1172" spans="1:6" x14ac:dyDescent="0.2">
      <c r="A1172">
        <v>20200801</v>
      </c>
      <c r="B1172" t="s">
        <v>13</v>
      </c>
      <c r="C1172" t="s">
        <v>9</v>
      </c>
      <c r="D1172">
        <v>1415</v>
      </c>
      <c r="E1172">
        <v>1415</v>
      </c>
      <c r="F1172">
        <v>1051</v>
      </c>
    </row>
    <row r="1173" spans="1:6" x14ac:dyDescent="0.2">
      <c r="A1173">
        <v>20200801</v>
      </c>
      <c r="B1173" t="s">
        <v>122</v>
      </c>
      <c r="C1173" t="s">
        <v>9</v>
      </c>
      <c r="D1173">
        <v>3</v>
      </c>
      <c r="E1173">
        <v>3</v>
      </c>
      <c r="F1173">
        <v>2</v>
      </c>
    </row>
    <row r="1174" spans="1:6" x14ac:dyDescent="0.2">
      <c r="A1174">
        <v>20200801</v>
      </c>
      <c r="B1174" t="s">
        <v>89</v>
      </c>
      <c r="C1174" t="s">
        <v>9</v>
      </c>
      <c r="D1174">
        <v>1</v>
      </c>
      <c r="E1174">
        <v>1</v>
      </c>
      <c r="F1174">
        <v>0</v>
      </c>
    </row>
    <row r="1175" spans="1:6" x14ac:dyDescent="0.2">
      <c r="A1175">
        <v>20200801</v>
      </c>
      <c r="B1175" t="s">
        <v>32</v>
      </c>
      <c r="C1175" t="s">
        <v>9</v>
      </c>
      <c r="D1175">
        <v>1</v>
      </c>
      <c r="E1175">
        <v>1</v>
      </c>
      <c r="F1175">
        <v>0</v>
      </c>
    </row>
    <row r="1176" spans="1:6" x14ac:dyDescent="0.2">
      <c r="A1176">
        <v>20200801</v>
      </c>
      <c r="B1176" t="s">
        <v>100</v>
      </c>
      <c r="C1176" t="s">
        <v>7</v>
      </c>
      <c r="D1176">
        <v>1</v>
      </c>
      <c r="E1176">
        <v>1</v>
      </c>
      <c r="F1176">
        <v>1</v>
      </c>
    </row>
    <row r="1177" spans="1:6" x14ac:dyDescent="0.2">
      <c r="A1177">
        <v>20200801</v>
      </c>
      <c r="B1177" t="s">
        <v>100</v>
      </c>
      <c r="C1177" t="s">
        <v>9</v>
      </c>
      <c r="D1177">
        <v>741</v>
      </c>
      <c r="E1177">
        <v>741</v>
      </c>
      <c r="F1177">
        <v>402</v>
      </c>
    </row>
    <row r="1178" spans="1:6" x14ac:dyDescent="0.2">
      <c r="A1178">
        <v>20200801</v>
      </c>
      <c r="B1178" t="s">
        <v>112</v>
      </c>
      <c r="C1178" t="s">
        <v>9</v>
      </c>
      <c r="D1178">
        <v>1</v>
      </c>
      <c r="E1178">
        <v>1</v>
      </c>
      <c r="F1178">
        <v>0</v>
      </c>
    </row>
    <row r="1179" spans="1:6" x14ac:dyDescent="0.2">
      <c r="A1179">
        <v>20200801</v>
      </c>
      <c r="B1179" t="s">
        <v>26</v>
      </c>
      <c r="C1179" t="s">
        <v>9</v>
      </c>
      <c r="D1179">
        <v>1</v>
      </c>
      <c r="E1179">
        <v>1</v>
      </c>
      <c r="F1179">
        <v>0</v>
      </c>
    </row>
    <row r="1180" spans="1:6" x14ac:dyDescent="0.2">
      <c r="A1180">
        <v>20200801</v>
      </c>
      <c r="B1180" t="s">
        <v>59</v>
      </c>
      <c r="C1180" t="s">
        <v>9</v>
      </c>
      <c r="D1180">
        <v>1</v>
      </c>
      <c r="E1180">
        <v>1</v>
      </c>
      <c r="F1180">
        <v>0</v>
      </c>
    </row>
    <row r="1181" spans="1:6" x14ac:dyDescent="0.2">
      <c r="A1181">
        <v>20200801</v>
      </c>
      <c r="B1181" t="s">
        <v>37</v>
      </c>
      <c r="C1181" t="s">
        <v>7</v>
      </c>
      <c r="D1181">
        <v>1227</v>
      </c>
      <c r="E1181">
        <v>896</v>
      </c>
      <c r="F1181">
        <v>187</v>
      </c>
    </row>
    <row r="1182" spans="1:6" x14ac:dyDescent="0.2">
      <c r="A1182">
        <v>20200801</v>
      </c>
      <c r="B1182" t="s">
        <v>37</v>
      </c>
      <c r="C1182" t="s">
        <v>9</v>
      </c>
      <c r="D1182">
        <v>417</v>
      </c>
      <c r="E1182">
        <v>279</v>
      </c>
      <c r="F1182">
        <v>78</v>
      </c>
    </row>
    <row r="1183" spans="1:6" x14ac:dyDescent="0.2">
      <c r="A1183">
        <v>20200801</v>
      </c>
      <c r="B1183" t="s">
        <v>29</v>
      </c>
      <c r="C1183" t="s">
        <v>7</v>
      </c>
      <c r="D1183">
        <v>4</v>
      </c>
      <c r="E1183">
        <v>3</v>
      </c>
      <c r="F1183">
        <v>1</v>
      </c>
    </row>
    <row r="1184" spans="1:6" x14ac:dyDescent="0.2">
      <c r="A1184">
        <v>20200801</v>
      </c>
      <c r="B1184" t="s">
        <v>29</v>
      </c>
      <c r="C1184" t="s">
        <v>9</v>
      </c>
      <c r="D1184">
        <v>27</v>
      </c>
      <c r="E1184">
        <v>16</v>
      </c>
      <c r="F1184">
        <v>3</v>
      </c>
    </row>
    <row r="1185" spans="1:6" x14ac:dyDescent="0.2">
      <c r="A1185">
        <v>20200801</v>
      </c>
      <c r="B1185" t="s">
        <v>105</v>
      </c>
      <c r="C1185" t="s">
        <v>7</v>
      </c>
      <c r="D1185">
        <v>329</v>
      </c>
      <c r="E1185">
        <v>0</v>
      </c>
      <c r="F1185">
        <v>0</v>
      </c>
    </row>
    <row r="1186" spans="1:6" x14ac:dyDescent="0.2">
      <c r="A1186">
        <v>20200801</v>
      </c>
      <c r="B1186" t="s">
        <v>105</v>
      </c>
      <c r="C1186" t="s">
        <v>9</v>
      </c>
      <c r="D1186">
        <v>367</v>
      </c>
      <c r="E1186">
        <v>0</v>
      </c>
      <c r="F1186">
        <v>0</v>
      </c>
    </row>
    <row r="1187" spans="1:6" x14ac:dyDescent="0.2">
      <c r="A1187">
        <v>20200801</v>
      </c>
      <c r="B1187" t="s">
        <v>106</v>
      </c>
      <c r="C1187" t="s">
        <v>7</v>
      </c>
      <c r="D1187">
        <v>15</v>
      </c>
      <c r="E1187">
        <v>0</v>
      </c>
      <c r="F1187">
        <v>0</v>
      </c>
    </row>
    <row r="1188" spans="1:6" x14ac:dyDescent="0.2">
      <c r="A1188">
        <v>20200801</v>
      </c>
      <c r="B1188" t="s">
        <v>106</v>
      </c>
      <c r="C1188" t="s">
        <v>9</v>
      </c>
      <c r="D1188">
        <v>13</v>
      </c>
      <c r="E1188">
        <v>1</v>
      </c>
      <c r="F1188">
        <v>1</v>
      </c>
    </row>
    <row r="1189" spans="1:6" x14ac:dyDescent="0.2">
      <c r="A1189">
        <v>20200801</v>
      </c>
      <c r="B1189" t="s">
        <v>75</v>
      </c>
      <c r="C1189" t="s">
        <v>9</v>
      </c>
      <c r="D1189">
        <v>51</v>
      </c>
      <c r="E1189">
        <v>51</v>
      </c>
      <c r="F1189">
        <v>38</v>
      </c>
    </row>
    <row r="1190" spans="1:6" x14ac:dyDescent="0.2">
      <c r="A1190">
        <v>20200801</v>
      </c>
      <c r="B1190" t="s">
        <v>137</v>
      </c>
      <c r="C1190" t="s">
        <v>9</v>
      </c>
      <c r="D1190">
        <v>1</v>
      </c>
      <c r="E1190">
        <v>1</v>
      </c>
      <c r="F1190">
        <v>0</v>
      </c>
    </row>
    <row r="1191" spans="1:6" x14ac:dyDescent="0.2">
      <c r="A1191">
        <v>20200801</v>
      </c>
      <c r="B1191" t="s">
        <v>8</v>
      </c>
      <c r="C1191" t="s">
        <v>9</v>
      </c>
      <c r="D1191">
        <v>1</v>
      </c>
      <c r="E1191">
        <v>1</v>
      </c>
      <c r="F1191">
        <v>0</v>
      </c>
    </row>
    <row r="1192" spans="1:6" x14ac:dyDescent="0.2">
      <c r="A1192">
        <v>20200801</v>
      </c>
      <c r="B1192" t="s">
        <v>103</v>
      </c>
      <c r="C1192" t="s">
        <v>9</v>
      </c>
      <c r="D1192">
        <v>73</v>
      </c>
      <c r="E1192">
        <v>73</v>
      </c>
      <c r="F1192">
        <v>56</v>
      </c>
    </row>
    <row r="1193" spans="1:6" x14ac:dyDescent="0.2">
      <c r="A1193">
        <v>20200801</v>
      </c>
      <c r="B1193" t="s">
        <v>143</v>
      </c>
      <c r="C1193" t="s">
        <v>9</v>
      </c>
      <c r="D1193">
        <v>39</v>
      </c>
      <c r="E1193">
        <v>18</v>
      </c>
      <c r="F1193">
        <v>7</v>
      </c>
    </row>
    <row r="1194" spans="1:6" x14ac:dyDescent="0.2">
      <c r="A1194">
        <v>20200801</v>
      </c>
      <c r="B1194" t="s">
        <v>63</v>
      </c>
      <c r="C1194" t="s">
        <v>7</v>
      </c>
      <c r="D1194">
        <v>8</v>
      </c>
      <c r="E1194">
        <v>7</v>
      </c>
      <c r="F1194">
        <v>4</v>
      </c>
    </row>
    <row r="1195" spans="1:6" x14ac:dyDescent="0.2">
      <c r="A1195">
        <v>20200801</v>
      </c>
      <c r="B1195" t="s">
        <v>63</v>
      </c>
      <c r="C1195" t="s">
        <v>9</v>
      </c>
      <c r="D1195">
        <v>16</v>
      </c>
      <c r="E1195">
        <v>13</v>
      </c>
      <c r="F1195">
        <v>4</v>
      </c>
    </row>
    <row r="1196" spans="1:6" x14ac:dyDescent="0.2">
      <c r="A1196">
        <v>20200801</v>
      </c>
      <c r="B1196" t="s">
        <v>109</v>
      </c>
      <c r="C1196" t="s">
        <v>9</v>
      </c>
      <c r="D1196">
        <v>997</v>
      </c>
      <c r="E1196">
        <v>828</v>
      </c>
      <c r="F1196">
        <v>510</v>
      </c>
    </row>
    <row r="1197" spans="1:6" x14ac:dyDescent="0.2">
      <c r="A1197">
        <v>20200801</v>
      </c>
      <c r="B1197" t="s">
        <v>33</v>
      </c>
      <c r="C1197" t="s">
        <v>7</v>
      </c>
      <c r="D1197">
        <v>1660</v>
      </c>
      <c r="E1197">
        <v>1</v>
      </c>
      <c r="F1197">
        <v>0</v>
      </c>
    </row>
    <row r="1198" spans="1:6" x14ac:dyDescent="0.2">
      <c r="A1198">
        <v>20200801</v>
      </c>
      <c r="B1198" t="s">
        <v>33</v>
      </c>
      <c r="C1198" t="s">
        <v>9</v>
      </c>
      <c r="D1198">
        <v>1935</v>
      </c>
      <c r="E1198">
        <v>0</v>
      </c>
      <c r="F1198">
        <v>0</v>
      </c>
    </row>
    <row r="1199" spans="1:6" x14ac:dyDescent="0.2">
      <c r="A1199">
        <v>20200801</v>
      </c>
      <c r="B1199" t="s">
        <v>135</v>
      </c>
      <c r="C1199" t="s">
        <v>7</v>
      </c>
      <c r="D1199">
        <v>2</v>
      </c>
      <c r="E1199">
        <v>2</v>
      </c>
      <c r="F1199">
        <v>1</v>
      </c>
    </row>
    <row r="1200" spans="1:6" x14ac:dyDescent="0.2">
      <c r="A1200">
        <v>20200801</v>
      </c>
      <c r="B1200" t="s">
        <v>135</v>
      </c>
      <c r="C1200" t="s">
        <v>9</v>
      </c>
      <c r="D1200">
        <v>397</v>
      </c>
      <c r="E1200">
        <v>397</v>
      </c>
      <c r="F1200">
        <v>254</v>
      </c>
    </row>
    <row r="1201" spans="1:6" x14ac:dyDescent="0.2">
      <c r="A1201">
        <v>20200801</v>
      </c>
      <c r="B1201" t="s">
        <v>60</v>
      </c>
      <c r="C1201" t="s">
        <v>9</v>
      </c>
      <c r="D1201">
        <v>1</v>
      </c>
      <c r="E1201">
        <v>1</v>
      </c>
      <c r="F1201">
        <v>0</v>
      </c>
    </row>
    <row r="1202" spans="1:6" x14ac:dyDescent="0.2">
      <c r="A1202">
        <v>20200801</v>
      </c>
      <c r="B1202" t="s">
        <v>78</v>
      </c>
      <c r="C1202" t="s">
        <v>7</v>
      </c>
      <c r="D1202">
        <v>803</v>
      </c>
      <c r="E1202">
        <v>803</v>
      </c>
      <c r="F1202">
        <v>451</v>
      </c>
    </row>
    <row r="1203" spans="1:6" x14ac:dyDescent="0.2">
      <c r="A1203">
        <v>20200801</v>
      </c>
      <c r="B1203" t="s">
        <v>78</v>
      </c>
      <c r="C1203" t="s">
        <v>9</v>
      </c>
      <c r="D1203">
        <v>264</v>
      </c>
      <c r="E1203">
        <v>264</v>
      </c>
      <c r="F1203">
        <v>139</v>
      </c>
    </row>
    <row r="1204" spans="1:6" x14ac:dyDescent="0.2">
      <c r="A1204">
        <v>20200801</v>
      </c>
      <c r="B1204" t="s">
        <v>83</v>
      </c>
      <c r="C1204" t="s">
        <v>7</v>
      </c>
      <c r="D1204">
        <v>34</v>
      </c>
      <c r="E1204">
        <v>34</v>
      </c>
      <c r="F1204">
        <v>21</v>
      </c>
    </row>
    <row r="1205" spans="1:6" x14ac:dyDescent="0.2">
      <c r="A1205">
        <v>20200801</v>
      </c>
      <c r="B1205" t="s">
        <v>83</v>
      </c>
      <c r="C1205" t="s">
        <v>9</v>
      </c>
      <c r="D1205">
        <v>141</v>
      </c>
      <c r="E1205">
        <v>141</v>
      </c>
      <c r="F1205">
        <v>80</v>
      </c>
    </row>
    <row r="1206" spans="1:6" x14ac:dyDescent="0.2">
      <c r="A1206">
        <v>20200801</v>
      </c>
      <c r="B1206" t="s">
        <v>42</v>
      </c>
      <c r="C1206" t="s">
        <v>9</v>
      </c>
      <c r="D1206">
        <v>1</v>
      </c>
      <c r="E1206">
        <v>1</v>
      </c>
      <c r="F1206">
        <v>0</v>
      </c>
    </row>
    <row r="1207" spans="1:6" x14ac:dyDescent="0.2">
      <c r="A1207">
        <v>20200801</v>
      </c>
      <c r="B1207" t="s">
        <v>125</v>
      </c>
      <c r="C1207" t="s">
        <v>9</v>
      </c>
      <c r="D1207">
        <v>167</v>
      </c>
      <c r="E1207">
        <v>167</v>
      </c>
      <c r="F1207">
        <v>119</v>
      </c>
    </row>
    <row r="1208" spans="1:6" x14ac:dyDescent="0.2">
      <c r="A1208">
        <v>20200801</v>
      </c>
      <c r="B1208" t="s">
        <v>107</v>
      </c>
      <c r="C1208" t="s">
        <v>7</v>
      </c>
      <c r="D1208">
        <v>20</v>
      </c>
      <c r="E1208">
        <v>20</v>
      </c>
      <c r="F1208">
        <v>8</v>
      </c>
    </row>
    <row r="1209" spans="1:6" x14ac:dyDescent="0.2">
      <c r="A1209">
        <v>20200801</v>
      </c>
      <c r="B1209" t="s">
        <v>107</v>
      </c>
      <c r="C1209" t="s">
        <v>9</v>
      </c>
      <c r="D1209">
        <v>3</v>
      </c>
      <c r="E1209">
        <v>3</v>
      </c>
      <c r="F1209">
        <v>1</v>
      </c>
    </row>
    <row r="1210" spans="1:6" x14ac:dyDescent="0.2">
      <c r="A1210">
        <v>20200801</v>
      </c>
      <c r="B1210" t="s">
        <v>48</v>
      </c>
      <c r="C1210" t="s">
        <v>9</v>
      </c>
      <c r="D1210">
        <v>1380</v>
      </c>
      <c r="E1210">
        <v>1380</v>
      </c>
      <c r="F1210">
        <v>868</v>
      </c>
    </row>
    <row r="1211" spans="1:6" x14ac:dyDescent="0.2">
      <c r="A1211">
        <v>20200801</v>
      </c>
      <c r="B1211" t="s">
        <v>24</v>
      </c>
      <c r="C1211" t="s">
        <v>7</v>
      </c>
      <c r="D1211">
        <v>115</v>
      </c>
      <c r="E1211">
        <v>73</v>
      </c>
      <c r="F1211">
        <v>8</v>
      </c>
    </row>
    <row r="1212" spans="1:6" x14ac:dyDescent="0.2">
      <c r="A1212">
        <v>20200801</v>
      </c>
      <c r="B1212" t="s">
        <v>24</v>
      </c>
      <c r="C1212" t="s">
        <v>9</v>
      </c>
      <c r="D1212">
        <v>528</v>
      </c>
      <c r="E1212">
        <v>357</v>
      </c>
      <c r="F1212">
        <v>41</v>
      </c>
    </row>
    <row r="1213" spans="1:6" x14ac:dyDescent="0.2">
      <c r="A1213">
        <v>20200801</v>
      </c>
      <c r="B1213" t="s">
        <v>93</v>
      </c>
      <c r="C1213" t="s">
        <v>7</v>
      </c>
      <c r="D1213">
        <v>1316</v>
      </c>
      <c r="E1213">
        <v>1316</v>
      </c>
      <c r="F1213">
        <v>1004</v>
      </c>
    </row>
    <row r="1214" spans="1:6" x14ac:dyDescent="0.2">
      <c r="A1214">
        <v>20200801</v>
      </c>
      <c r="B1214" t="s">
        <v>93</v>
      </c>
      <c r="C1214" t="s">
        <v>9</v>
      </c>
      <c r="D1214">
        <v>606</v>
      </c>
      <c r="E1214">
        <v>606</v>
      </c>
      <c r="F1214">
        <v>468</v>
      </c>
    </row>
    <row r="1215" spans="1:6" x14ac:dyDescent="0.2">
      <c r="A1215">
        <v>20200801</v>
      </c>
      <c r="B1215" t="s">
        <v>30</v>
      </c>
      <c r="C1215" t="s">
        <v>9</v>
      </c>
      <c r="D1215">
        <v>47</v>
      </c>
      <c r="E1215">
        <v>47</v>
      </c>
      <c r="F1215">
        <v>31</v>
      </c>
    </row>
    <row r="1216" spans="1:6" x14ac:dyDescent="0.2">
      <c r="A1216">
        <v>20200801</v>
      </c>
      <c r="B1216" t="s">
        <v>67</v>
      </c>
      <c r="C1216" t="s">
        <v>9</v>
      </c>
      <c r="D1216">
        <v>1</v>
      </c>
      <c r="E1216">
        <v>1</v>
      </c>
      <c r="F1216">
        <v>0</v>
      </c>
    </row>
    <row r="1217" spans="1:6" x14ac:dyDescent="0.2">
      <c r="A1217">
        <v>20200801</v>
      </c>
      <c r="B1217" t="s">
        <v>22</v>
      </c>
      <c r="C1217" t="s">
        <v>7</v>
      </c>
      <c r="D1217">
        <v>5958</v>
      </c>
      <c r="E1217">
        <v>5958</v>
      </c>
      <c r="F1217">
        <v>4477</v>
      </c>
    </row>
    <row r="1218" spans="1:6" x14ac:dyDescent="0.2">
      <c r="A1218">
        <v>20200801</v>
      </c>
      <c r="B1218" t="s">
        <v>22</v>
      </c>
      <c r="C1218" t="s">
        <v>9</v>
      </c>
      <c r="D1218">
        <v>4550</v>
      </c>
      <c r="E1218">
        <v>4550</v>
      </c>
      <c r="F1218">
        <v>3485</v>
      </c>
    </row>
    <row r="1219" spans="1:6" x14ac:dyDescent="0.2">
      <c r="A1219">
        <v>20200801</v>
      </c>
      <c r="B1219" t="s">
        <v>55</v>
      </c>
      <c r="C1219" t="s">
        <v>7</v>
      </c>
      <c r="D1219">
        <v>1</v>
      </c>
      <c r="E1219">
        <v>1</v>
      </c>
      <c r="F1219">
        <v>1</v>
      </c>
    </row>
    <row r="1220" spans="1:6" x14ac:dyDescent="0.2">
      <c r="A1220">
        <v>20200801</v>
      </c>
      <c r="B1220" t="s">
        <v>55</v>
      </c>
      <c r="C1220" t="s">
        <v>9</v>
      </c>
      <c r="D1220">
        <v>1213</v>
      </c>
      <c r="E1220">
        <v>1213</v>
      </c>
      <c r="F1220">
        <v>891</v>
      </c>
    </row>
    <row r="1221" spans="1:6" x14ac:dyDescent="0.2">
      <c r="A1221">
        <v>20200801</v>
      </c>
      <c r="B1221" t="s">
        <v>10</v>
      </c>
      <c r="C1221" t="s">
        <v>9</v>
      </c>
      <c r="D1221">
        <v>1</v>
      </c>
      <c r="E1221">
        <v>1</v>
      </c>
      <c r="F1221">
        <v>0</v>
      </c>
    </row>
    <row r="1222" spans="1:6" x14ac:dyDescent="0.2">
      <c r="A1222">
        <v>20200801</v>
      </c>
      <c r="B1222" t="s">
        <v>111</v>
      </c>
      <c r="C1222" t="s">
        <v>9</v>
      </c>
      <c r="D1222">
        <v>848</v>
      </c>
      <c r="E1222">
        <v>848</v>
      </c>
      <c r="F1222">
        <v>565</v>
      </c>
    </row>
    <row r="1223" spans="1:6" x14ac:dyDescent="0.2">
      <c r="A1223">
        <v>20200801</v>
      </c>
      <c r="B1223" t="s">
        <v>46</v>
      </c>
      <c r="C1223" t="s">
        <v>9</v>
      </c>
      <c r="D1223">
        <v>2</v>
      </c>
      <c r="E1223">
        <v>2</v>
      </c>
      <c r="F1223">
        <v>1</v>
      </c>
    </row>
    <row r="1224" spans="1:6" x14ac:dyDescent="0.2">
      <c r="A1224">
        <v>20200801</v>
      </c>
      <c r="C1224" t="s">
        <v>7</v>
      </c>
      <c r="D1224">
        <v>13306</v>
      </c>
      <c r="E1224">
        <v>0</v>
      </c>
      <c r="F1224">
        <v>0</v>
      </c>
    </row>
    <row r="1225" spans="1:6" x14ac:dyDescent="0.2">
      <c r="A1225">
        <v>20200801</v>
      </c>
      <c r="C1225" t="s">
        <v>9</v>
      </c>
      <c r="D1225">
        <v>11709</v>
      </c>
      <c r="E1225">
        <v>0</v>
      </c>
      <c r="F1225">
        <v>0</v>
      </c>
    </row>
    <row r="1226" spans="1:6" x14ac:dyDescent="0.2">
      <c r="A1226">
        <v>20200802</v>
      </c>
      <c r="B1226" t="s">
        <v>82</v>
      </c>
      <c r="C1226" t="s">
        <v>7</v>
      </c>
      <c r="D1226">
        <v>11479</v>
      </c>
      <c r="E1226">
        <v>11479</v>
      </c>
      <c r="F1226">
        <v>7152</v>
      </c>
    </row>
    <row r="1227" spans="1:6" x14ac:dyDescent="0.2">
      <c r="A1227">
        <v>20200802</v>
      </c>
      <c r="B1227" t="s">
        <v>82</v>
      </c>
      <c r="C1227" t="s">
        <v>9</v>
      </c>
      <c r="D1227">
        <v>5117</v>
      </c>
      <c r="E1227">
        <v>5117</v>
      </c>
      <c r="F1227">
        <v>3167</v>
      </c>
    </row>
    <row r="1228" spans="1:6" x14ac:dyDescent="0.2">
      <c r="A1228">
        <v>20200802</v>
      </c>
      <c r="B1228" t="s">
        <v>34</v>
      </c>
      <c r="C1228" t="s">
        <v>7</v>
      </c>
      <c r="D1228">
        <v>1931</v>
      </c>
      <c r="E1228">
        <v>1456</v>
      </c>
      <c r="F1228">
        <v>835</v>
      </c>
    </row>
    <row r="1229" spans="1:6" x14ac:dyDescent="0.2">
      <c r="A1229">
        <v>20200802</v>
      </c>
      <c r="B1229" t="s">
        <v>34</v>
      </c>
      <c r="C1229" t="s">
        <v>9</v>
      </c>
      <c r="D1229">
        <v>1269</v>
      </c>
      <c r="E1229">
        <v>966</v>
      </c>
      <c r="F1229">
        <v>546</v>
      </c>
    </row>
    <row r="1230" spans="1:6" x14ac:dyDescent="0.2">
      <c r="A1230">
        <v>20200802</v>
      </c>
      <c r="B1230" t="s">
        <v>40</v>
      </c>
      <c r="C1230" t="s">
        <v>7</v>
      </c>
      <c r="D1230">
        <v>1998</v>
      </c>
      <c r="E1230">
        <v>1283</v>
      </c>
      <c r="F1230">
        <v>221</v>
      </c>
    </row>
    <row r="1231" spans="1:6" x14ac:dyDescent="0.2">
      <c r="A1231">
        <v>20200802</v>
      </c>
      <c r="B1231" t="s">
        <v>40</v>
      </c>
      <c r="C1231" t="s">
        <v>9</v>
      </c>
      <c r="D1231">
        <v>1053</v>
      </c>
      <c r="E1231">
        <v>726</v>
      </c>
      <c r="F1231">
        <v>152</v>
      </c>
    </row>
    <row r="1232" spans="1:6" x14ac:dyDescent="0.2">
      <c r="A1232">
        <v>20200802</v>
      </c>
      <c r="B1232" t="s">
        <v>94</v>
      </c>
      <c r="C1232" t="s">
        <v>9</v>
      </c>
      <c r="D1232">
        <v>77</v>
      </c>
      <c r="E1232">
        <v>77</v>
      </c>
      <c r="F1232">
        <v>59</v>
      </c>
    </row>
    <row r="1233" spans="1:6" x14ac:dyDescent="0.2">
      <c r="A1233">
        <v>20200802</v>
      </c>
      <c r="B1233" t="s">
        <v>45</v>
      </c>
      <c r="C1233" t="s">
        <v>7</v>
      </c>
      <c r="D1233">
        <v>2</v>
      </c>
      <c r="E1233">
        <v>0</v>
      </c>
      <c r="F1233">
        <v>0</v>
      </c>
    </row>
    <row r="1234" spans="1:6" x14ac:dyDescent="0.2">
      <c r="A1234">
        <v>20200802</v>
      </c>
      <c r="B1234" t="s">
        <v>31</v>
      </c>
      <c r="C1234" t="s">
        <v>7</v>
      </c>
      <c r="D1234">
        <v>38</v>
      </c>
      <c r="E1234">
        <v>28</v>
      </c>
      <c r="F1234">
        <v>8</v>
      </c>
    </row>
    <row r="1235" spans="1:6" x14ac:dyDescent="0.2">
      <c r="A1235">
        <v>20200802</v>
      </c>
      <c r="B1235" t="s">
        <v>31</v>
      </c>
      <c r="C1235" t="s">
        <v>9</v>
      </c>
      <c r="D1235">
        <v>453</v>
      </c>
      <c r="E1235">
        <v>366</v>
      </c>
      <c r="F1235">
        <v>91</v>
      </c>
    </row>
    <row r="1236" spans="1:6" x14ac:dyDescent="0.2">
      <c r="A1236">
        <v>20200802</v>
      </c>
      <c r="B1236" t="s">
        <v>11</v>
      </c>
      <c r="C1236" t="s">
        <v>7</v>
      </c>
      <c r="D1236">
        <v>8304</v>
      </c>
      <c r="E1236">
        <v>1</v>
      </c>
      <c r="F1236">
        <v>0</v>
      </c>
    </row>
    <row r="1237" spans="1:6" x14ac:dyDescent="0.2">
      <c r="A1237">
        <v>20200802</v>
      </c>
      <c r="B1237" t="s">
        <v>11</v>
      </c>
      <c r="C1237" t="s">
        <v>9</v>
      </c>
      <c r="D1237">
        <v>8490</v>
      </c>
      <c r="E1237">
        <v>1</v>
      </c>
      <c r="F1237">
        <v>1</v>
      </c>
    </row>
    <row r="1238" spans="1:6" x14ac:dyDescent="0.2">
      <c r="A1238">
        <v>20200802</v>
      </c>
      <c r="B1238" t="s">
        <v>16</v>
      </c>
      <c r="C1238" t="s">
        <v>7</v>
      </c>
      <c r="D1238">
        <v>571</v>
      </c>
      <c r="E1238">
        <v>571</v>
      </c>
      <c r="F1238">
        <v>370</v>
      </c>
    </row>
    <row r="1239" spans="1:6" x14ac:dyDescent="0.2">
      <c r="A1239">
        <v>20200802</v>
      </c>
      <c r="B1239" t="s">
        <v>16</v>
      </c>
      <c r="C1239" t="s">
        <v>9</v>
      </c>
      <c r="D1239">
        <v>664</v>
      </c>
      <c r="E1239">
        <v>664</v>
      </c>
      <c r="F1239">
        <v>493</v>
      </c>
    </row>
    <row r="1240" spans="1:6" x14ac:dyDescent="0.2">
      <c r="A1240">
        <v>20200802</v>
      </c>
      <c r="B1240" t="s">
        <v>120</v>
      </c>
      <c r="C1240" t="s">
        <v>9</v>
      </c>
      <c r="D1240">
        <v>3</v>
      </c>
      <c r="E1240">
        <v>3</v>
      </c>
      <c r="F1240">
        <v>0</v>
      </c>
    </row>
    <row r="1241" spans="1:6" x14ac:dyDescent="0.2">
      <c r="A1241">
        <v>20200802</v>
      </c>
      <c r="B1241" t="s">
        <v>6</v>
      </c>
      <c r="C1241" t="s">
        <v>9</v>
      </c>
      <c r="D1241">
        <v>421</v>
      </c>
      <c r="E1241">
        <v>193</v>
      </c>
      <c r="F1241">
        <v>140</v>
      </c>
    </row>
    <row r="1242" spans="1:6" x14ac:dyDescent="0.2">
      <c r="A1242">
        <v>20200802</v>
      </c>
      <c r="B1242" t="s">
        <v>27</v>
      </c>
      <c r="C1242" t="s">
        <v>9</v>
      </c>
      <c r="D1242">
        <v>163</v>
      </c>
      <c r="E1242">
        <v>163</v>
      </c>
      <c r="F1242">
        <v>91</v>
      </c>
    </row>
    <row r="1243" spans="1:6" x14ac:dyDescent="0.2">
      <c r="A1243">
        <v>20200802</v>
      </c>
      <c r="B1243" t="s">
        <v>142</v>
      </c>
      <c r="C1243" t="s">
        <v>7</v>
      </c>
      <c r="D1243">
        <v>2</v>
      </c>
      <c r="E1243">
        <v>0</v>
      </c>
      <c r="F1243">
        <v>0</v>
      </c>
    </row>
    <row r="1244" spans="1:6" x14ac:dyDescent="0.2">
      <c r="A1244">
        <v>20200802</v>
      </c>
      <c r="B1244" t="s">
        <v>142</v>
      </c>
      <c r="C1244" t="s">
        <v>9</v>
      </c>
      <c r="D1244">
        <v>296</v>
      </c>
      <c r="E1244">
        <v>229</v>
      </c>
      <c r="F1244">
        <v>114</v>
      </c>
    </row>
    <row r="1245" spans="1:6" x14ac:dyDescent="0.2">
      <c r="A1245">
        <v>20200802</v>
      </c>
      <c r="B1245" t="s">
        <v>35</v>
      </c>
      <c r="C1245" t="s">
        <v>9</v>
      </c>
      <c r="D1245">
        <v>274</v>
      </c>
      <c r="E1245">
        <v>274</v>
      </c>
      <c r="F1245">
        <v>134</v>
      </c>
    </row>
    <row r="1246" spans="1:6" x14ac:dyDescent="0.2">
      <c r="A1246">
        <v>20200802</v>
      </c>
      <c r="B1246" t="s">
        <v>84</v>
      </c>
      <c r="C1246" t="s">
        <v>9</v>
      </c>
      <c r="D1246">
        <v>4</v>
      </c>
      <c r="E1246">
        <v>4</v>
      </c>
      <c r="F1246">
        <v>2</v>
      </c>
    </row>
    <row r="1247" spans="1:6" x14ac:dyDescent="0.2">
      <c r="A1247">
        <v>20200802</v>
      </c>
      <c r="B1247" t="s">
        <v>61</v>
      </c>
      <c r="C1247" t="s">
        <v>9</v>
      </c>
      <c r="D1247">
        <v>3</v>
      </c>
      <c r="E1247">
        <v>3</v>
      </c>
      <c r="F1247">
        <v>0</v>
      </c>
    </row>
    <row r="1248" spans="1:6" x14ac:dyDescent="0.2">
      <c r="A1248">
        <v>20200802</v>
      </c>
      <c r="B1248" t="s">
        <v>20</v>
      </c>
      <c r="C1248" t="s">
        <v>7</v>
      </c>
      <c r="D1248">
        <v>141</v>
      </c>
      <c r="E1248">
        <v>73</v>
      </c>
      <c r="F1248">
        <v>47</v>
      </c>
    </row>
    <row r="1249" spans="1:6" x14ac:dyDescent="0.2">
      <c r="A1249">
        <v>20200802</v>
      </c>
      <c r="B1249" t="s">
        <v>20</v>
      </c>
      <c r="C1249" t="s">
        <v>9</v>
      </c>
      <c r="D1249">
        <v>419</v>
      </c>
      <c r="E1249">
        <v>258</v>
      </c>
      <c r="F1249">
        <v>148</v>
      </c>
    </row>
    <row r="1250" spans="1:6" x14ac:dyDescent="0.2">
      <c r="A1250">
        <v>20200802</v>
      </c>
      <c r="B1250" t="s">
        <v>38</v>
      </c>
      <c r="C1250" t="s">
        <v>7</v>
      </c>
      <c r="D1250">
        <v>2545</v>
      </c>
      <c r="E1250">
        <v>2545</v>
      </c>
      <c r="F1250">
        <v>1465</v>
      </c>
    </row>
    <row r="1251" spans="1:6" x14ac:dyDescent="0.2">
      <c r="A1251">
        <v>20200802</v>
      </c>
      <c r="B1251" t="s">
        <v>38</v>
      </c>
      <c r="C1251" t="s">
        <v>9</v>
      </c>
      <c r="D1251">
        <v>2034</v>
      </c>
      <c r="E1251">
        <v>2034</v>
      </c>
      <c r="F1251">
        <v>1177</v>
      </c>
    </row>
    <row r="1252" spans="1:6" x14ac:dyDescent="0.2">
      <c r="A1252">
        <v>20200802</v>
      </c>
      <c r="B1252" t="s">
        <v>25</v>
      </c>
      <c r="C1252" t="s">
        <v>9</v>
      </c>
      <c r="D1252">
        <v>925</v>
      </c>
      <c r="E1252">
        <v>925</v>
      </c>
      <c r="F1252">
        <v>720</v>
      </c>
    </row>
    <row r="1253" spans="1:6" x14ac:dyDescent="0.2">
      <c r="A1253">
        <v>20200802</v>
      </c>
      <c r="B1253" t="s">
        <v>72</v>
      </c>
      <c r="C1253" t="s">
        <v>9</v>
      </c>
      <c r="D1253">
        <v>24</v>
      </c>
      <c r="E1253">
        <v>24</v>
      </c>
      <c r="F1253">
        <v>18</v>
      </c>
    </row>
    <row r="1254" spans="1:6" x14ac:dyDescent="0.2">
      <c r="A1254">
        <v>20200802</v>
      </c>
      <c r="B1254" t="s">
        <v>28</v>
      </c>
      <c r="C1254" t="s">
        <v>9</v>
      </c>
      <c r="D1254">
        <v>74</v>
      </c>
      <c r="E1254">
        <v>74</v>
      </c>
      <c r="F1254">
        <v>48</v>
      </c>
    </row>
    <row r="1255" spans="1:6" x14ac:dyDescent="0.2">
      <c r="A1255">
        <v>20200802</v>
      </c>
      <c r="B1255" t="s">
        <v>99</v>
      </c>
      <c r="C1255" t="s">
        <v>9</v>
      </c>
      <c r="D1255">
        <v>36</v>
      </c>
      <c r="E1255">
        <v>36</v>
      </c>
      <c r="F1255">
        <v>22</v>
      </c>
    </row>
    <row r="1256" spans="1:6" x14ac:dyDescent="0.2">
      <c r="A1256">
        <v>20200802</v>
      </c>
      <c r="B1256" t="s">
        <v>44</v>
      </c>
      <c r="C1256" t="s">
        <v>9</v>
      </c>
      <c r="D1256">
        <v>3</v>
      </c>
      <c r="E1256">
        <v>3</v>
      </c>
      <c r="F1256">
        <v>0</v>
      </c>
    </row>
    <row r="1257" spans="1:6" x14ac:dyDescent="0.2">
      <c r="A1257">
        <v>20200802</v>
      </c>
      <c r="B1257" t="s">
        <v>97</v>
      </c>
      <c r="C1257" t="s">
        <v>9</v>
      </c>
      <c r="D1257">
        <v>3</v>
      </c>
      <c r="E1257">
        <v>3</v>
      </c>
      <c r="F1257">
        <v>0</v>
      </c>
    </row>
    <row r="1258" spans="1:6" x14ac:dyDescent="0.2">
      <c r="A1258">
        <v>20200802</v>
      </c>
      <c r="B1258" t="s">
        <v>153</v>
      </c>
      <c r="C1258" t="s">
        <v>9</v>
      </c>
      <c r="D1258">
        <v>25</v>
      </c>
      <c r="E1258">
        <v>12</v>
      </c>
      <c r="F1258">
        <v>4</v>
      </c>
    </row>
    <row r="1259" spans="1:6" x14ac:dyDescent="0.2">
      <c r="A1259">
        <v>20200802</v>
      </c>
      <c r="B1259" t="s">
        <v>76</v>
      </c>
      <c r="C1259" t="s">
        <v>7</v>
      </c>
      <c r="D1259">
        <v>680</v>
      </c>
      <c r="E1259">
        <v>680</v>
      </c>
      <c r="F1259">
        <v>495</v>
      </c>
    </row>
    <row r="1260" spans="1:6" x14ac:dyDescent="0.2">
      <c r="A1260">
        <v>20200802</v>
      </c>
      <c r="B1260" t="s">
        <v>76</v>
      </c>
      <c r="C1260" t="s">
        <v>9</v>
      </c>
      <c r="D1260">
        <v>401</v>
      </c>
      <c r="E1260">
        <v>401</v>
      </c>
      <c r="F1260">
        <v>313</v>
      </c>
    </row>
    <row r="1261" spans="1:6" x14ac:dyDescent="0.2">
      <c r="A1261">
        <v>20200802</v>
      </c>
      <c r="B1261" t="s">
        <v>62</v>
      </c>
      <c r="C1261" t="s">
        <v>9</v>
      </c>
      <c r="D1261">
        <v>47</v>
      </c>
      <c r="E1261">
        <v>33</v>
      </c>
      <c r="F1261">
        <v>14</v>
      </c>
    </row>
    <row r="1262" spans="1:6" x14ac:dyDescent="0.2">
      <c r="A1262">
        <v>20200802</v>
      </c>
      <c r="B1262" t="s">
        <v>118</v>
      </c>
      <c r="C1262" t="s">
        <v>7</v>
      </c>
      <c r="D1262">
        <v>824</v>
      </c>
      <c r="E1262">
        <v>586</v>
      </c>
      <c r="F1262">
        <v>245</v>
      </c>
    </row>
    <row r="1263" spans="1:6" x14ac:dyDescent="0.2">
      <c r="A1263">
        <v>20200802</v>
      </c>
      <c r="B1263" t="s">
        <v>118</v>
      </c>
      <c r="C1263" t="s">
        <v>9</v>
      </c>
      <c r="D1263">
        <v>1944</v>
      </c>
      <c r="E1263">
        <v>1697</v>
      </c>
      <c r="F1263">
        <v>880</v>
      </c>
    </row>
    <row r="1264" spans="1:6" x14ac:dyDescent="0.2">
      <c r="A1264">
        <v>20200802</v>
      </c>
      <c r="B1264" t="s">
        <v>53</v>
      </c>
      <c r="C1264" t="s">
        <v>9</v>
      </c>
      <c r="D1264">
        <v>88</v>
      </c>
      <c r="E1264">
        <v>88</v>
      </c>
      <c r="F1264">
        <v>62</v>
      </c>
    </row>
    <row r="1265" spans="1:6" x14ac:dyDescent="0.2">
      <c r="A1265">
        <v>20200802</v>
      </c>
      <c r="B1265" t="s">
        <v>95</v>
      </c>
      <c r="C1265" t="s">
        <v>7</v>
      </c>
      <c r="D1265">
        <v>286</v>
      </c>
      <c r="E1265">
        <v>286</v>
      </c>
      <c r="F1265">
        <v>167</v>
      </c>
    </row>
    <row r="1266" spans="1:6" x14ac:dyDescent="0.2">
      <c r="A1266">
        <v>20200802</v>
      </c>
      <c r="B1266" t="s">
        <v>95</v>
      </c>
      <c r="C1266" t="s">
        <v>9</v>
      </c>
      <c r="D1266">
        <v>210</v>
      </c>
      <c r="E1266">
        <v>210</v>
      </c>
      <c r="F1266">
        <v>116</v>
      </c>
    </row>
    <row r="1267" spans="1:6" x14ac:dyDescent="0.2">
      <c r="A1267">
        <v>20200802</v>
      </c>
      <c r="B1267" t="s">
        <v>64</v>
      </c>
      <c r="C1267" t="s">
        <v>9</v>
      </c>
      <c r="D1267">
        <v>1679</v>
      </c>
      <c r="E1267">
        <v>1679</v>
      </c>
      <c r="F1267">
        <v>1274</v>
      </c>
    </row>
    <row r="1268" spans="1:6" x14ac:dyDescent="0.2">
      <c r="A1268">
        <v>20200802</v>
      </c>
      <c r="B1268" t="s">
        <v>85</v>
      </c>
      <c r="C1268" t="s">
        <v>9</v>
      </c>
      <c r="D1268">
        <v>2241</v>
      </c>
      <c r="E1268">
        <v>1685</v>
      </c>
      <c r="F1268">
        <v>933</v>
      </c>
    </row>
    <row r="1269" spans="1:6" x14ac:dyDescent="0.2">
      <c r="A1269">
        <v>20200802</v>
      </c>
      <c r="B1269" t="s">
        <v>126</v>
      </c>
      <c r="C1269" t="s">
        <v>9</v>
      </c>
      <c r="D1269">
        <v>3</v>
      </c>
      <c r="E1269">
        <v>3</v>
      </c>
      <c r="F1269">
        <v>0</v>
      </c>
    </row>
    <row r="1270" spans="1:6" x14ac:dyDescent="0.2">
      <c r="A1270">
        <v>20200802</v>
      </c>
      <c r="B1270" t="s">
        <v>65</v>
      </c>
      <c r="C1270" t="s">
        <v>9</v>
      </c>
      <c r="D1270">
        <v>143</v>
      </c>
      <c r="E1270">
        <v>143</v>
      </c>
      <c r="F1270">
        <v>96</v>
      </c>
    </row>
    <row r="1271" spans="1:6" x14ac:dyDescent="0.2">
      <c r="A1271">
        <v>20200802</v>
      </c>
      <c r="B1271" t="s">
        <v>13</v>
      </c>
      <c r="C1271" t="s">
        <v>7</v>
      </c>
      <c r="D1271">
        <v>791</v>
      </c>
      <c r="E1271">
        <v>791</v>
      </c>
      <c r="F1271">
        <v>579</v>
      </c>
    </row>
    <row r="1272" spans="1:6" x14ac:dyDescent="0.2">
      <c r="A1272">
        <v>20200802</v>
      </c>
      <c r="B1272" t="s">
        <v>13</v>
      </c>
      <c r="C1272" t="s">
        <v>9</v>
      </c>
      <c r="D1272">
        <v>1495</v>
      </c>
      <c r="E1272">
        <v>1495</v>
      </c>
      <c r="F1272">
        <v>1121</v>
      </c>
    </row>
    <row r="1273" spans="1:6" x14ac:dyDescent="0.2">
      <c r="A1273">
        <v>20200802</v>
      </c>
      <c r="B1273" t="s">
        <v>89</v>
      </c>
      <c r="C1273" t="s">
        <v>9</v>
      </c>
      <c r="D1273">
        <v>3</v>
      </c>
      <c r="E1273">
        <v>3</v>
      </c>
      <c r="F1273">
        <v>0</v>
      </c>
    </row>
    <row r="1274" spans="1:6" x14ac:dyDescent="0.2">
      <c r="A1274">
        <v>20200802</v>
      </c>
      <c r="B1274" t="s">
        <v>32</v>
      </c>
      <c r="C1274" t="s">
        <v>9</v>
      </c>
      <c r="D1274">
        <v>3</v>
      </c>
      <c r="E1274">
        <v>3</v>
      </c>
      <c r="F1274">
        <v>0</v>
      </c>
    </row>
    <row r="1275" spans="1:6" x14ac:dyDescent="0.2">
      <c r="A1275">
        <v>20200802</v>
      </c>
      <c r="B1275" t="s">
        <v>100</v>
      </c>
      <c r="C1275" t="s">
        <v>7</v>
      </c>
      <c r="D1275">
        <v>2</v>
      </c>
      <c r="E1275">
        <v>2</v>
      </c>
      <c r="F1275">
        <v>0</v>
      </c>
    </row>
    <row r="1276" spans="1:6" x14ac:dyDescent="0.2">
      <c r="A1276">
        <v>20200802</v>
      </c>
      <c r="B1276" t="s">
        <v>100</v>
      </c>
      <c r="C1276" t="s">
        <v>9</v>
      </c>
      <c r="D1276">
        <v>1020</v>
      </c>
      <c r="E1276">
        <v>1020</v>
      </c>
      <c r="F1276">
        <v>609</v>
      </c>
    </row>
    <row r="1277" spans="1:6" x14ac:dyDescent="0.2">
      <c r="A1277">
        <v>20200802</v>
      </c>
      <c r="B1277" t="s">
        <v>112</v>
      </c>
      <c r="C1277" t="s">
        <v>9</v>
      </c>
      <c r="D1277">
        <v>3</v>
      </c>
      <c r="E1277">
        <v>3</v>
      </c>
      <c r="F1277">
        <v>0</v>
      </c>
    </row>
    <row r="1278" spans="1:6" x14ac:dyDescent="0.2">
      <c r="A1278">
        <v>20200802</v>
      </c>
      <c r="B1278" t="s">
        <v>26</v>
      </c>
      <c r="C1278" t="s">
        <v>9</v>
      </c>
      <c r="D1278">
        <v>3</v>
      </c>
      <c r="E1278">
        <v>3</v>
      </c>
      <c r="F1278">
        <v>0</v>
      </c>
    </row>
    <row r="1279" spans="1:6" x14ac:dyDescent="0.2">
      <c r="A1279">
        <v>20200802</v>
      </c>
      <c r="B1279" t="s">
        <v>59</v>
      </c>
      <c r="C1279" t="s">
        <v>9</v>
      </c>
      <c r="D1279">
        <v>3</v>
      </c>
      <c r="E1279">
        <v>3</v>
      </c>
      <c r="F1279">
        <v>0</v>
      </c>
    </row>
    <row r="1280" spans="1:6" x14ac:dyDescent="0.2">
      <c r="A1280">
        <v>20200802</v>
      </c>
      <c r="B1280" t="s">
        <v>37</v>
      </c>
      <c r="C1280" t="s">
        <v>7</v>
      </c>
      <c r="D1280">
        <v>958</v>
      </c>
      <c r="E1280">
        <v>669</v>
      </c>
      <c r="F1280">
        <v>152</v>
      </c>
    </row>
    <row r="1281" spans="1:6" x14ac:dyDescent="0.2">
      <c r="A1281">
        <v>20200802</v>
      </c>
      <c r="B1281" t="s">
        <v>37</v>
      </c>
      <c r="C1281" t="s">
        <v>9</v>
      </c>
      <c r="D1281">
        <v>272</v>
      </c>
      <c r="E1281">
        <v>200</v>
      </c>
      <c r="F1281">
        <v>55</v>
      </c>
    </row>
    <row r="1282" spans="1:6" x14ac:dyDescent="0.2">
      <c r="A1282">
        <v>20200802</v>
      </c>
      <c r="B1282" t="s">
        <v>29</v>
      </c>
      <c r="C1282" t="s">
        <v>7</v>
      </c>
      <c r="D1282">
        <v>1</v>
      </c>
      <c r="E1282">
        <v>1</v>
      </c>
      <c r="F1282">
        <v>0</v>
      </c>
    </row>
    <row r="1283" spans="1:6" x14ac:dyDescent="0.2">
      <c r="A1283">
        <v>20200802</v>
      </c>
      <c r="B1283" t="s">
        <v>29</v>
      </c>
      <c r="C1283" t="s">
        <v>9</v>
      </c>
      <c r="D1283">
        <v>25</v>
      </c>
      <c r="E1283">
        <v>14</v>
      </c>
      <c r="F1283">
        <v>2</v>
      </c>
    </row>
    <row r="1284" spans="1:6" x14ac:dyDescent="0.2">
      <c r="A1284">
        <v>20200802</v>
      </c>
      <c r="B1284" t="s">
        <v>105</v>
      </c>
      <c r="C1284" t="s">
        <v>7</v>
      </c>
      <c r="D1284">
        <v>652</v>
      </c>
      <c r="E1284">
        <v>0</v>
      </c>
      <c r="F1284">
        <v>0</v>
      </c>
    </row>
    <row r="1285" spans="1:6" x14ac:dyDescent="0.2">
      <c r="A1285">
        <v>20200802</v>
      </c>
      <c r="B1285" t="s">
        <v>105</v>
      </c>
      <c r="C1285" t="s">
        <v>9</v>
      </c>
      <c r="D1285">
        <v>729</v>
      </c>
      <c r="E1285">
        <v>0</v>
      </c>
      <c r="F1285">
        <v>0</v>
      </c>
    </row>
    <row r="1286" spans="1:6" x14ac:dyDescent="0.2">
      <c r="A1286">
        <v>20200802</v>
      </c>
      <c r="B1286" t="s">
        <v>106</v>
      </c>
      <c r="C1286" t="s">
        <v>7</v>
      </c>
      <c r="D1286">
        <v>10</v>
      </c>
      <c r="E1286">
        <v>0</v>
      </c>
      <c r="F1286">
        <v>0</v>
      </c>
    </row>
    <row r="1287" spans="1:6" x14ac:dyDescent="0.2">
      <c r="A1287">
        <v>20200802</v>
      </c>
      <c r="B1287" t="s">
        <v>106</v>
      </c>
      <c r="C1287" t="s">
        <v>9</v>
      </c>
      <c r="D1287">
        <v>23</v>
      </c>
      <c r="E1287">
        <v>1</v>
      </c>
      <c r="F1287">
        <v>1</v>
      </c>
    </row>
    <row r="1288" spans="1:6" x14ac:dyDescent="0.2">
      <c r="A1288">
        <v>20200802</v>
      </c>
      <c r="B1288" t="s">
        <v>75</v>
      </c>
      <c r="C1288" t="s">
        <v>9</v>
      </c>
      <c r="D1288">
        <v>47</v>
      </c>
      <c r="E1288">
        <v>47</v>
      </c>
      <c r="F1288">
        <v>33</v>
      </c>
    </row>
    <row r="1289" spans="1:6" x14ac:dyDescent="0.2">
      <c r="A1289">
        <v>20200802</v>
      </c>
      <c r="B1289" t="s">
        <v>148</v>
      </c>
      <c r="C1289" t="s">
        <v>9</v>
      </c>
      <c r="D1289">
        <v>21</v>
      </c>
      <c r="E1289">
        <v>15</v>
      </c>
      <c r="F1289">
        <v>6</v>
      </c>
    </row>
    <row r="1290" spans="1:6" x14ac:dyDescent="0.2">
      <c r="A1290">
        <v>20200802</v>
      </c>
      <c r="B1290" t="s">
        <v>137</v>
      </c>
      <c r="C1290" t="s">
        <v>9</v>
      </c>
      <c r="D1290">
        <v>3</v>
      </c>
      <c r="E1290">
        <v>3</v>
      </c>
      <c r="F1290">
        <v>0</v>
      </c>
    </row>
    <row r="1291" spans="1:6" x14ac:dyDescent="0.2">
      <c r="A1291">
        <v>20200802</v>
      </c>
      <c r="B1291" t="s">
        <v>8</v>
      </c>
      <c r="C1291" t="s">
        <v>9</v>
      </c>
      <c r="D1291">
        <v>3</v>
      </c>
      <c r="E1291">
        <v>3</v>
      </c>
      <c r="F1291">
        <v>0</v>
      </c>
    </row>
    <row r="1292" spans="1:6" x14ac:dyDescent="0.2">
      <c r="A1292">
        <v>20200802</v>
      </c>
      <c r="B1292" t="s">
        <v>103</v>
      </c>
      <c r="C1292" t="s">
        <v>9</v>
      </c>
      <c r="D1292">
        <v>85</v>
      </c>
      <c r="E1292">
        <v>85</v>
      </c>
      <c r="F1292">
        <v>61</v>
      </c>
    </row>
    <row r="1293" spans="1:6" x14ac:dyDescent="0.2">
      <c r="A1293">
        <v>20200802</v>
      </c>
      <c r="B1293" t="s">
        <v>143</v>
      </c>
      <c r="C1293" t="s">
        <v>9</v>
      </c>
      <c r="D1293">
        <v>34</v>
      </c>
      <c r="E1293">
        <v>18</v>
      </c>
      <c r="F1293">
        <v>8</v>
      </c>
    </row>
    <row r="1294" spans="1:6" x14ac:dyDescent="0.2">
      <c r="A1294">
        <v>20200802</v>
      </c>
      <c r="B1294" t="s">
        <v>109</v>
      </c>
      <c r="C1294" t="s">
        <v>9</v>
      </c>
      <c r="D1294">
        <v>1130</v>
      </c>
      <c r="E1294">
        <v>928</v>
      </c>
      <c r="F1294">
        <v>585</v>
      </c>
    </row>
    <row r="1295" spans="1:6" x14ac:dyDescent="0.2">
      <c r="A1295">
        <v>20200802</v>
      </c>
      <c r="B1295" t="s">
        <v>33</v>
      </c>
      <c r="C1295" t="s">
        <v>7</v>
      </c>
      <c r="D1295">
        <v>1627</v>
      </c>
      <c r="E1295">
        <v>1393</v>
      </c>
      <c r="F1295">
        <v>915</v>
      </c>
    </row>
    <row r="1296" spans="1:6" x14ac:dyDescent="0.2">
      <c r="A1296">
        <v>20200802</v>
      </c>
      <c r="B1296" t="s">
        <v>33</v>
      </c>
      <c r="C1296" t="s">
        <v>9</v>
      </c>
      <c r="D1296">
        <v>2920</v>
      </c>
      <c r="E1296">
        <v>2484</v>
      </c>
      <c r="F1296">
        <v>1672</v>
      </c>
    </row>
    <row r="1297" spans="1:6" x14ac:dyDescent="0.2">
      <c r="A1297">
        <v>20200802</v>
      </c>
      <c r="B1297" t="s">
        <v>135</v>
      </c>
      <c r="C1297" t="s">
        <v>7</v>
      </c>
      <c r="D1297">
        <v>1</v>
      </c>
      <c r="E1297">
        <v>1</v>
      </c>
      <c r="F1297">
        <v>1</v>
      </c>
    </row>
    <row r="1298" spans="1:6" x14ac:dyDescent="0.2">
      <c r="A1298">
        <v>20200802</v>
      </c>
      <c r="B1298" t="s">
        <v>135</v>
      </c>
      <c r="C1298" t="s">
        <v>9</v>
      </c>
      <c r="D1298">
        <v>603</v>
      </c>
      <c r="E1298">
        <v>603</v>
      </c>
      <c r="F1298">
        <v>397</v>
      </c>
    </row>
    <row r="1299" spans="1:6" x14ac:dyDescent="0.2">
      <c r="A1299">
        <v>20200802</v>
      </c>
      <c r="B1299" t="s">
        <v>60</v>
      </c>
      <c r="C1299" t="s">
        <v>9</v>
      </c>
      <c r="D1299">
        <v>3</v>
      </c>
      <c r="E1299">
        <v>3</v>
      </c>
      <c r="F1299">
        <v>0</v>
      </c>
    </row>
    <row r="1300" spans="1:6" x14ac:dyDescent="0.2">
      <c r="A1300">
        <v>20200802</v>
      </c>
      <c r="B1300" t="s">
        <v>78</v>
      </c>
      <c r="C1300" t="s">
        <v>7</v>
      </c>
      <c r="D1300">
        <v>252</v>
      </c>
      <c r="E1300">
        <v>252</v>
      </c>
      <c r="F1300">
        <v>130</v>
      </c>
    </row>
    <row r="1301" spans="1:6" x14ac:dyDescent="0.2">
      <c r="A1301">
        <v>20200802</v>
      </c>
      <c r="B1301" t="s">
        <v>78</v>
      </c>
      <c r="C1301" t="s">
        <v>9</v>
      </c>
      <c r="D1301">
        <v>475</v>
      </c>
      <c r="E1301">
        <v>475</v>
      </c>
      <c r="F1301">
        <v>262</v>
      </c>
    </row>
    <row r="1302" spans="1:6" x14ac:dyDescent="0.2">
      <c r="A1302">
        <v>20200802</v>
      </c>
      <c r="B1302" t="s">
        <v>83</v>
      </c>
      <c r="C1302" t="s">
        <v>7</v>
      </c>
      <c r="D1302">
        <v>5</v>
      </c>
      <c r="E1302">
        <v>5</v>
      </c>
      <c r="F1302">
        <v>5</v>
      </c>
    </row>
    <row r="1303" spans="1:6" x14ac:dyDescent="0.2">
      <c r="A1303">
        <v>20200802</v>
      </c>
      <c r="B1303" t="s">
        <v>83</v>
      </c>
      <c r="C1303" t="s">
        <v>9</v>
      </c>
      <c r="D1303">
        <v>219</v>
      </c>
      <c r="E1303">
        <v>219</v>
      </c>
      <c r="F1303">
        <v>144</v>
      </c>
    </row>
    <row r="1304" spans="1:6" x14ac:dyDescent="0.2">
      <c r="A1304">
        <v>20200802</v>
      </c>
      <c r="B1304" t="s">
        <v>42</v>
      </c>
      <c r="C1304" t="s">
        <v>9</v>
      </c>
      <c r="D1304">
        <v>3</v>
      </c>
      <c r="E1304">
        <v>3</v>
      </c>
      <c r="F1304">
        <v>0</v>
      </c>
    </row>
    <row r="1305" spans="1:6" x14ac:dyDescent="0.2">
      <c r="A1305">
        <v>20200802</v>
      </c>
      <c r="B1305" t="s">
        <v>125</v>
      </c>
      <c r="C1305" t="s">
        <v>9</v>
      </c>
      <c r="D1305">
        <v>180</v>
      </c>
      <c r="E1305">
        <v>180</v>
      </c>
      <c r="F1305">
        <v>136</v>
      </c>
    </row>
    <row r="1306" spans="1:6" x14ac:dyDescent="0.2">
      <c r="A1306">
        <v>20200802</v>
      </c>
      <c r="B1306" t="s">
        <v>107</v>
      </c>
      <c r="C1306" t="s">
        <v>7</v>
      </c>
      <c r="D1306">
        <v>10</v>
      </c>
      <c r="E1306">
        <v>10</v>
      </c>
      <c r="F1306">
        <v>4</v>
      </c>
    </row>
    <row r="1307" spans="1:6" x14ac:dyDescent="0.2">
      <c r="A1307">
        <v>20200802</v>
      </c>
      <c r="B1307" t="s">
        <v>107</v>
      </c>
      <c r="C1307" t="s">
        <v>9</v>
      </c>
      <c r="D1307">
        <v>9</v>
      </c>
      <c r="E1307">
        <v>9</v>
      </c>
      <c r="F1307">
        <v>3</v>
      </c>
    </row>
    <row r="1308" spans="1:6" x14ac:dyDescent="0.2">
      <c r="A1308">
        <v>20200802</v>
      </c>
      <c r="B1308" t="s">
        <v>48</v>
      </c>
      <c r="C1308" t="s">
        <v>9</v>
      </c>
      <c r="D1308">
        <v>1500</v>
      </c>
      <c r="E1308">
        <v>1500</v>
      </c>
      <c r="F1308">
        <v>1050</v>
      </c>
    </row>
    <row r="1309" spans="1:6" x14ac:dyDescent="0.2">
      <c r="A1309">
        <v>20200802</v>
      </c>
      <c r="B1309" t="s">
        <v>24</v>
      </c>
      <c r="C1309" t="s">
        <v>7</v>
      </c>
      <c r="D1309">
        <v>21</v>
      </c>
      <c r="E1309">
        <v>20</v>
      </c>
      <c r="F1309">
        <v>1</v>
      </c>
    </row>
    <row r="1310" spans="1:6" x14ac:dyDescent="0.2">
      <c r="A1310">
        <v>20200802</v>
      </c>
      <c r="B1310" t="s">
        <v>24</v>
      </c>
      <c r="C1310" t="s">
        <v>9</v>
      </c>
      <c r="D1310">
        <v>634</v>
      </c>
      <c r="E1310">
        <v>390</v>
      </c>
      <c r="F1310">
        <v>43</v>
      </c>
    </row>
    <row r="1311" spans="1:6" x14ac:dyDescent="0.2">
      <c r="A1311">
        <v>20200802</v>
      </c>
      <c r="B1311" t="s">
        <v>93</v>
      </c>
      <c r="C1311" t="s">
        <v>7</v>
      </c>
      <c r="D1311">
        <v>1592</v>
      </c>
      <c r="E1311">
        <v>1592</v>
      </c>
      <c r="F1311">
        <v>1232</v>
      </c>
    </row>
    <row r="1312" spans="1:6" x14ac:dyDescent="0.2">
      <c r="A1312">
        <v>20200802</v>
      </c>
      <c r="B1312" t="s">
        <v>93</v>
      </c>
      <c r="C1312" t="s">
        <v>9</v>
      </c>
      <c r="D1312">
        <v>910</v>
      </c>
      <c r="E1312">
        <v>910</v>
      </c>
      <c r="F1312">
        <v>726</v>
      </c>
    </row>
    <row r="1313" spans="1:6" x14ac:dyDescent="0.2">
      <c r="A1313">
        <v>20200802</v>
      </c>
      <c r="B1313" t="s">
        <v>30</v>
      </c>
      <c r="C1313" t="s">
        <v>9</v>
      </c>
      <c r="D1313">
        <v>55</v>
      </c>
      <c r="E1313">
        <v>55</v>
      </c>
      <c r="F1313">
        <v>43</v>
      </c>
    </row>
    <row r="1314" spans="1:6" x14ac:dyDescent="0.2">
      <c r="A1314">
        <v>20200802</v>
      </c>
      <c r="B1314" t="s">
        <v>67</v>
      </c>
      <c r="C1314" t="s">
        <v>9</v>
      </c>
      <c r="D1314">
        <v>3</v>
      </c>
      <c r="E1314">
        <v>3</v>
      </c>
      <c r="F1314">
        <v>0</v>
      </c>
    </row>
    <row r="1315" spans="1:6" x14ac:dyDescent="0.2">
      <c r="A1315">
        <v>20200802</v>
      </c>
      <c r="B1315" t="s">
        <v>22</v>
      </c>
      <c r="C1315" t="s">
        <v>7</v>
      </c>
      <c r="D1315">
        <v>5045</v>
      </c>
      <c r="E1315">
        <v>5045</v>
      </c>
      <c r="F1315">
        <v>3863</v>
      </c>
    </row>
    <row r="1316" spans="1:6" x14ac:dyDescent="0.2">
      <c r="A1316">
        <v>20200802</v>
      </c>
      <c r="B1316" t="s">
        <v>22</v>
      </c>
      <c r="C1316" t="s">
        <v>9</v>
      </c>
      <c r="D1316">
        <v>3828</v>
      </c>
      <c r="E1316">
        <v>3828</v>
      </c>
      <c r="F1316">
        <v>3047</v>
      </c>
    </row>
    <row r="1317" spans="1:6" x14ac:dyDescent="0.2">
      <c r="A1317">
        <v>20200802</v>
      </c>
      <c r="B1317" t="s">
        <v>55</v>
      </c>
      <c r="C1317" t="s">
        <v>9</v>
      </c>
      <c r="D1317">
        <v>1579</v>
      </c>
      <c r="E1317">
        <v>1579</v>
      </c>
      <c r="F1317">
        <v>1121</v>
      </c>
    </row>
    <row r="1318" spans="1:6" x14ac:dyDescent="0.2">
      <c r="A1318">
        <v>20200802</v>
      </c>
      <c r="B1318" t="s">
        <v>10</v>
      </c>
      <c r="C1318" t="s">
        <v>9</v>
      </c>
      <c r="D1318">
        <v>3</v>
      </c>
      <c r="E1318">
        <v>3</v>
      </c>
      <c r="F1318">
        <v>0</v>
      </c>
    </row>
    <row r="1319" spans="1:6" x14ac:dyDescent="0.2">
      <c r="A1319">
        <v>20200802</v>
      </c>
      <c r="B1319" t="s">
        <v>161</v>
      </c>
      <c r="C1319" t="s">
        <v>7</v>
      </c>
      <c r="D1319">
        <v>834</v>
      </c>
      <c r="E1319">
        <v>0</v>
      </c>
      <c r="F1319">
        <v>0</v>
      </c>
    </row>
    <row r="1320" spans="1:6" x14ac:dyDescent="0.2">
      <c r="A1320">
        <v>20200802</v>
      </c>
      <c r="B1320" t="s">
        <v>161</v>
      </c>
      <c r="C1320" t="s">
        <v>9</v>
      </c>
      <c r="D1320">
        <v>876</v>
      </c>
      <c r="E1320">
        <v>0</v>
      </c>
      <c r="F1320">
        <v>0</v>
      </c>
    </row>
    <row r="1321" spans="1:6" x14ac:dyDescent="0.2">
      <c r="A1321">
        <v>20200802</v>
      </c>
      <c r="B1321" t="s">
        <v>111</v>
      </c>
      <c r="C1321" t="s">
        <v>9</v>
      </c>
      <c r="D1321">
        <v>916</v>
      </c>
      <c r="E1321">
        <v>916</v>
      </c>
      <c r="F1321">
        <v>598</v>
      </c>
    </row>
    <row r="1322" spans="1:6" x14ac:dyDescent="0.2">
      <c r="A1322">
        <v>20200802</v>
      </c>
      <c r="B1322" t="s">
        <v>110</v>
      </c>
      <c r="C1322" t="s">
        <v>7</v>
      </c>
      <c r="D1322">
        <v>88</v>
      </c>
      <c r="E1322">
        <v>68</v>
      </c>
      <c r="F1322">
        <v>33</v>
      </c>
    </row>
    <row r="1323" spans="1:6" x14ac:dyDescent="0.2">
      <c r="A1323">
        <v>20200802</v>
      </c>
      <c r="B1323" t="s">
        <v>110</v>
      </c>
      <c r="C1323" t="s">
        <v>9</v>
      </c>
      <c r="D1323">
        <v>18</v>
      </c>
      <c r="E1323">
        <v>12</v>
      </c>
      <c r="F1323">
        <v>7</v>
      </c>
    </row>
    <row r="1324" spans="1:6" x14ac:dyDescent="0.2">
      <c r="A1324">
        <v>20200802</v>
      </c>
      <c r="C1324" t="s">
        <v>7</v>
      </c>
      <c r="D1324">
        <v>14366</v>
      </c>
      <c r="E1324">
        <v>0</v>
      </c>
      <c r="F1324">
        <v>0</v>
      </c>
    </row>
    <row r="1325" spans="1:6" x14ac:dyDescent="0.2">
      <c r="A1325">
        <v>20200802</v>
      </c>
      <c r="C1325" t="s">
        <v>9</v>
      </c>
      <c r="D1325">
        <v>13771</v>
      </c>
      <c r="E1325">
        <v>0</v>
      </c>
      <c r="F1325">
        <v>0</v>
      </c>
    </row>
    <row r="1326" spans="1:6" x14ac:dyDescent="0.2">
      <c r="A1326">
        <v>20200803</v>
      </c>
      <c r="B1326" t="s">
        <v>124</v>
      </c>
      <c r="C1326" t="s">
        <v>9</v>
      </c>
      <c r="D1326">
        <v>1</v>
      </c>
      <c r="E1326">
        <v>0</v>
      </c>
      <c r="F1326">
        <v>0</v>
      </c>
    </row>
    <row r="1327" spans="1:6" x14ac:dyDescent="0.2">
      <c r="A1327">
        <v>20200803</v>
      </c>
      <c r="B1327" t="s">
        <v>82</v>
      </c>
      <c r="C1327" t="s">
        <v>7</v>
      </c>
      <c r="D1327">
        <v>7420</v>
      </c>
      <c r="E1327">
        <v>7420</v>
      </c>
      <c r="F1327">
        <v>4914</v>
      </c>
    </row>
    <row r="1328" spans="1:6" x14ac:dyDescent="0.2">
      <c r="A1328">
        <v>20200803</v>
      </c>
      <c r="B1328" t="s">
        <v>82</v>
      </c>
      <c r="C1328" t="s">
        <v>9</v>
      </c>
      <c r="D1328">
        <v>2818</v>
      </c>
      <c r="E1328">
        <v>2818</v>
      </c>
      <c r="F1328">
        <v>1918</v>
      </c>
    </row>
    <row r="1329" spans="1:6" x14ac:dyDescent="0.2">
      <c r="A1329">
        <v>20200803</v>
      </c>
      <c r="B1329" t="s">
        <v>34</v>
      </c>
      <c r="C1329" t="s">
        <v>7</v>
      </c>
      <c r="D1329">
        <v>542</v>
      </c>
      <c r="E1329">
        <v>418</v>
      </c>
      <c r="F1329">
        <v>230</v>
      </c>
    </row>
    <row r="1330" spans="1:6" x14ac:dyDescent="0.2">
      <c r="A1330">
        <v>20200803</v>
      </c>
      <c r="B1330" t="s">
        <v>34</v>
      </c>
      <c r="C1330" t="s">
        <v>9</v>
      </c>
      <c r="D1330">
        <v>514</v>
      </c>
      <c r="E1330">
        <v>385</v>
      </c>
      <c r="F1330">
        <v>198</v>
      </c>
    </row>
    <row r="1331" spans="1:6" x14ac:dyDescent="0.2">
      <c r="A1331">
        <v>20200803</v>
      </c>
      <c r="B1331" t="s">
        <v>40</v>
      </c>
      <c r="C1331" t="s">
        <v>7</v>
      </c>
      <c r="D1331">
        <v>1114</v>
      </c>
      <c r="E1331">
        <v>759</v>
      </c>
      <c r="F1331">
        <v>138</v>
      </c>
    </row>
    <row r="1332" spans="1:6" x14ac:dyDescent="0.2">
      <c r="A1332">
        <v>20200803</v>
      </c>
      <c r="B1332" t="s">
        <v>40</v>
      </c>
      <c r="C1332" t="s">
        <v>9</v>
      </c>
      <c r="D1332">
        <v>554</v>
      </c>
      <c r="E1332">
        <v>385</v>
      </c>
      <c r="F1332">
        <v>67</v>
      </c>
    </row>
    <row r="1333" spans="1:6" x14ac:dyDescent="0.2">
      <c r="A1333">
        <v>20200803</v>
      </c>
      <c r="B1333" t="s">
        <v>94</v>
      </c>
      <c r="C1333" t="s">
        <v>9</v>
      </c>
      <c r="D1333">
        <v>107</v>
      </c>
      <c r="E1333">
        <v>107</v>
      </c>
      <c r="F1333">
        <v>78</v>
      </c>
    </row>
    <row r="1334" spans="1:6" x14ac:dyDescent="0.2">
      <c r="A1334">
        <v>20200803</v>
      </c>
      <c r="B1334" t="s">
        <v>45</v>
      </c>
      <c r="C1334" t="s">
        <v>7</v>
      </c>
      <c r="D1334">
        <v>1842</v>
      </c>
      <c r="E1334">
        <v>5</v>
      </c>
      <c r="F1334">
        <v>1</v>
      </c>
    </row>
    <row r="1335" spans="1:6" x14ac:dyDescent="0.2">
      <c r="A1335">
        <v>20200803</v>
      </c>
      <c r="B1335" t="s">
        <v>45</v>
      </c>
      <c r="C1335" t="s">
        <v>9</v>
      </c>
      <c r="D1335">
        <v>1864</v>
      </c>
      <c r="E1335">
        <v>5</v>
      </c>
      <c r="F1335">
        <v>3</v>
      </c>
    </row>
    <row r="1336" spans="1:6" x14ac:dyDescent="0.2">
      <c r="A1336">
        <v>20200803</v>
      </c>
      <c r="B1336" t="s">
        <v>69</v>
      </c>
      <c r="C1336" t="s">
        <v>7</v>
      </c>
      <c r="D1336">
        <v>644</v>
      </c>
      <c r="E1336">
        <v>3</v>
      </c>
      <c r="F1336">
        <v>2</v>
      </c>
    </row>
    <row r="1337" spans="1:6" x14ac:dyDescent="0.2">
      <c r="A1337">
        <v>20200803</v>
      </c>
      <c r="B1337" t="s">
        <v>69</v>
      </c>
      <c r="C1337" t="s">
        <v>9</v>
      </c>
      <c r="D1337">
        <v>626</v>
      </c>
      <c r="E1337">
        <v>2</v>
      </c>
      <c r="F1337">
        <v>1</v>
      </c>
    </row>
    <row r="1338" spans="1:6" x14ac:dyDescent="0.2">
      <c r="A1338">
        <v>20200803</v>
      </c>
      <c r="B1338" t="s">
        <v>123</v>
      </c>
      <c r="C1338" t="s">
        <v>7</v>
      </c>
      <c r="D1338">
        <v>1331</v>
      </c>
      <c r="E1338">
        <v>5</v>
      </c>
      <c r="F1338">
        <v>4</v>
      </c>
    </row>
    <row r="1339" spans="1:6" x14ac:dyDescent="0.2">
      <c r="A1339">
        <v>20200803</v>
      </c>
      <c r="B1339" t="s">
        <v>123</v>
      </c>
      <c r="C1339" t="s">
        <v>9</v>
      </c>
      <c r="D1339">
        <v>1271</v>
      </c>
      <c r="E1339">
        <v>1</v>
      </c>
      <c r="F1339">
        <v>1</v>
      </c>
    </row>
    <row r="1340" spans="1:6" x14ac:dyDescent="0.2">
      <c r="A1340">
        <v>20200803</v>
      </c>
      <c r="B1340" t="s">
        <v>101</v>
      </c>
      <c r="C1340" t="s">
        <v>7</v>
      </c>
      <c r="D1340">
        <v>1695</v>
      </c>
      <c r="E1340">
        <v>5</v>
      </c>
      <c r="F1340">
        <v>3</v>
      </c>
    </row>
    <row r="1341" spans="1:6" x14ac:dyDescent="0.2">
      <c r="A1341">
        <v>20200803</v>
      </c>
      <c r="B1341" t="s">
        <v>101</v>
      </c>
      <c r="C1341" t="s">
        <v>9</v>
      </c>
      <c r="D1341">
        <v>1618</v>
      </c>
      <c r="E1341">
        <v>4</v>
      </c>
      <c r="F1341">
        <v>1</v>
      </c>
    </row>
    <row r="1342" spans="1:6" x14ac:dyDescent="0.2">
      <c r="A1342">
        <v>20200803</v>
      </c>
      <c r="B1342" t="s">
        <v>31</v>
      </c>
      <c r="C1342" t="s">
        <v>7</v>
      </c>
      <c r="D1342">
        <v>1</v>
      </c>
      <c r="E1342">
        <v>0</v>
      </c>
      <c r="F1342">
        <v>0</v>
      </c>
    </row>
    <row r="1343" spans="1:6" x14ac:dyDescent="0.2">
      <c r="A1343">
        <v>20200803</v>
      </c>
      <c r="B1343" t="s">
        <v>31</v>
      </c>
      <c r="C1343" t="s">
        <v>9</v>
      </c>
      <c r="D1343">
        <v>313</v>
      </c>
      <c r="E1343">
        <v>229</v>
      </c>
      <c r="F1343">
        <v>46</v>
      </c>
    </row>
    <row r="1344" spans="1:6" x14ac:dyDescent="0.2">
      <c r="A1344">
        <v>20200803</v>
      </c>
      <c r="B1344" t="s">
        <v>11</v>
      </c>
      <c r="C1344" t="s">
        <v>7</v>
      </c>
      <c r="D1344">
        <v>12594</v>
      </c>
      <c r="E1344">
        <v>3</v>
      </c>
      <c r="F1344">
        <v>1</v>
      </c>
    </row>
    <row r="1345" spans="1:6" x14ac:dyDescent="0.2">
      <c r="A1345">
        <v>20200803</v>
      </c>
      <c r="B1345" t="s">
        <v>11</v>
      </c>
      <c r="C1345" t="s">
        <v>9</v>
      </c>
      <c r="D1345">
        <v>12402</v>
      </c>
      <c r="E1345">
        <v>0</v>
      </c>
      <c r="F1345">
        <v>0</v>
      </c>
    </row>
    <row r="1346" spans="1:6" x14ac:dyDescent="0.2">
      <c r="A1346">
        <v>20200803</v>
      </c>
      <c r="B1346" t="s">
        <v>16</v>
      </c>
      <c r="C1346" t="s">
        <v>7</v>
      </c>
      <c r="D1346">
        <v>523</v>
      </c>
      <c r="E1346">
        <v>523</v>
      </c>
      <c r="F1346">
        <v>329</v>
      </c>
    </row>
    <row r="1347" spans="1:6" x14ac:dyDescent="0.2">
      <c r="A1347">
        <v>20200803</v>
      </c>
      <c r="B1347" t="s">
        <v>16</v>
      </c>
      <c r="C1347" t="s">
        <v>9</v>
      </c>
      <c r="D1347">
        <v>496</v>
      </c>
      <c r="E1347">
        <v>496</v>
      </c>
      <c r="F1347">
        <v>353</v>
      </c>
    </row>
    <row r="1348" spans="1:6" x14ac:dyDescent="0.2">
      <c r="A1348">
        <v>20200803</v>
      </c>
      <c r="B1348" t="s">
        <v>120</v>
      </c>
      <c r="C1348" t="s">
        <v>9</v>
      </c>
      <c r="D1348">
        <v>6</v>
      </c>
      <c r="E1348">
        <v>6</v>
      </c>
      <c r="F1348">
        <v>0</v>
      </c>
    </row>
    <row r="1349" spans="1:6" x14ac:dyDescent="0.2">
      <c r="A1349">
        <v>20200803</v>
      </c>
      <c r="B1349" t="s">
        <v>6</v>
      </c>
      <c r="C1349" t="s">
        <v>9</v>
      </c>
      <c r="D1349">
        <v>345</v>
      </c>
      <c r="E1349">
        <v>132</v>
      </c>
      <c r="F1349">
        <v>89</v>
      </c>
    </row>
    <row r="1350" spans="1:6" x14ac:dyDescent="0.2">
      <c r="A1350">
        <v>20200803</v>
      </c>
      <c r="B1350" t="s">
        <v>36</v>
      </c>
      <c r="C1350" t="s">
        <v>7</v>
      </c>
      <c r="D1350">
        <v>1368</v>
      </c>
      <c r="E1350">
        <v>915</v>
      </c>
      <c r="F1350">
        <v>307</v>
      </c>
    </row>
    <row r="1351" spans="1:6" x14ac:dyDescent="0.2">
      <c r="A1351">
        <v>20200803</v>
      </c>
      <c r="B1351" t="s">
        <v>36</v>
      </c>
      <c r="C1351" t="s">
        <v>9</v>
      </c>
      <c r="D1351">
        <v>2036</v>
      </c>
      <c r="E1351">
        <v>1455</v>
      </c>
      <c r="F1351">
        <v>487</v>
      </c>
    </row>
    <row r="1352" spans="1:6" x14ac:dyDescent="0.2">
      <c r="A1352">
        <v>20200803</v>
      </c>
      <c r="B1352" t="s">
        <v>27</v>
      </c>
      <c r="C1352" t="s">
        <v>9</v>
      </c>
      <c r="D1352">
        <v>117</v>
      </c>
      <c r="E1352">
        <v>117</v>
      </c>
      <c r="F1352">
        <v>70</v>
      </c>
    </row>
    <row r="1353" spans="1:6" x14ac:dyDescent="0.2">
      <c r="A1353">
        <v>20200803</v>
      </c>
      <c r="B1353" t="s">
        <v>35</v>
      </c>
      <c r="C1353" t="s">
        <v>9</v>
      </c>
      <c r="D1353">
        <v>222</v>
      </c>
      <c r="E1353">
        <v>222</v>
      </c>
      <c r="F1353">
        <v>113</v>
      </c>
    </row>
    <row r="1354" spans="1:6" x14ac:dyDescent="0.2">
      <c r="A1354">
        <v>20200803</v>
      </c>
      <c r="B1354" t="s">
        <v>130</v>
      </c>
      <c r="C1354" t="s">
        <v>9</v>
      </c>
      <c r="D1354">
        <v>1</v>
      </c>
      <c r="E1354">
        <v>1</v>
      </c>
      <c r="F1354">
        <v>0</v>
      </c>
    </row>
    <row r="1355" spans="1:6" x14ac:dyDescent="0.2">
      <c r="A1355">
        <v>20200803</v>
      </c>
      <c r="B1355" t="s">
        <v>61</v>
      </c>
      <c r="C1355" t="s">
        <v>9</v>
      </c>
      <c r="D1355">
        <v>6</v>
      </c>
      <c r="E1355">
        <v>6</v>
      </c>
      <c r="F1355">
        <v>0</v>
      </c>
    </row>
    <row r="1356" spans="1:6" x14ac:dyDescent="0.2">
      <c r="A1356">
        <v>20200803</v>
      </c>
      <c r="B1356" t="s">
        <v>20</v>
      </c>
      <c r="C1356" t="s">
        <v>7</v>
      </c>
      <c r="D1356">
        <v>6</v>
      </c>
      <c r="E1356">
        <v>3</v>
      </c>
      <c r="F1356">
        <v>1</v>
      </c>
    </row>
    <row r="1357" spans="1:6" x14ac:dyDescent="0.2">
      <c r="A1357">
        <v>20200803</v>
      </c>
      <c r="B1357" t="s">
        <v>20</v>
      </c>
      <c r="C1357" t="s">
        <v>9</v>
      </c>
      <c r="D1357">
        <v>452</v>
      </c>
      <c r="E1357">
        <v>250</v>
      </c>
      <c r="F1357">
        <v>152</v>
      </c>
    </row>
    <row r="1358" spans="1:6" x14ac:dyDescent="0.2">
      <c r="A1358">
        <v>20200803</v>
      </c>
      <c r="B1358" t="s">
        <v>49</v>
      </c>
      <c r="C1358" t="s">
        <v>7</v>
      </c>
      <c r="D1358">
        <v>1182</v>
      </c>
      <c r="E1358">
        <v>22</v>
      </c>
      <c r="F1358">
        <v>18</v>
      </c>
    </row>
    <row r="1359" spans="1:6" x14ac:dyDescent="0.2">
      <c r="A1359">
        <v>20200803</v>
      </c>
      <c r="B1359" t="s">
        <v>49</v>
      </c>
      <c r="C1359" t="s">
        <v>9</v>
      </c>
      <c r="D1359">
        <v>1211</v>
      </c>
      <c r="E1359">
        <v>27</v>
      </c>
      <c r="F1359">
        <v>24</v>
      </c>
    </row>
    <row r="1360" spans="1:6" x14ac:dyDescent="0.2">
      <c r="A1360">
        <v>20200803</v>
      </c>
      <c r="B1360" t="s">
        <v>38</v>
      </c>
      <c r="C1360" t="s">
        <v>7</v>
      </c>
      <c r="D1360">
        <v>1797</v>
      </c>
      <c r="E1360">
        <v>1797</v>
      </c>
      <c r="F1360">
        <v>1014</v>
      </c>
    </row>
    <row r="1361" spans="1:6" x14ac:dyDescent="0.2">
      <c r="A1361">
        <v>20200803</v>
      </c>
      <c r="B1361" t="s">
        <v>38</v>
      </c>
      <c r="C1361" t="s">
        <v>9</v>
      </c>
      <c r="D1361">
        <v>1300</v>
      </c>
      <c r="E1361">
        <v>1300</v>
      </c>
      <c r="F1361">
        <v>783</v>
      </c>
    </row>
    <row r="1362" spans="1:6" x14ac:dyDescent="0.2">
      <c r="A1362">
        <v>20200803</v>
      </c>
      <c r="B1362" t="s">
        <v>57</v>
      </c>
      <c r="C1362" t="s">
        <v>9</v>
      </c>
      <c r="D1362">
        <v>1</v>
      </c>
      <c r="E1362">
        <v>0</v>
      </c>
      <c r="F1362">
        <v>0</v>
      </c>
    </row>
    <row r="1363" spans="1:6" x14ac:dyDescent="0.2">
      <c r="A1363">
        <v>20200803</v>
      </c>
      <c r="B1363" t="s">
        <v>25</v>
      </c>
      <c r="C1363" t="s">
        <v>9</v>
      </c>
      <c r="D1363">
        <v>801</v>
      </c>
      <c r="E1363">
        <v>801</v>
      </c>
      <c r="F1363">
        <v>613</v>
      </c>
    </row>
    <row r="1364" spans="1:6" x14ac:dyDescent="0.2">
      <c r="A1364">
        <v>20200803</v>
      </c>
      <c r="B1364" t="s">
        <v>72</v>
      </c>
      <c r="C1364" t="s">
        <v>9</v>
      </c>
      <c r="D1364">
        <v>1</v>
      </c>
      <c r="E1364">
        <v>1</v>
      </c>
      <c r="F1364">
        <v>1</v>
      </c>
    </row>
    <row r="1365" spans="1:6" x14ac:dyDescent="0.2">
      <c r="A1365">
        <v>20200803</v>
      </c>
      <c r="B1365" t="s">
        <v>66</v>
      </c>
      <c r="C1365" t="s">
        <v>9</v>
      </c>
      <c r="D1365">
        <v>24</v>
      </c>
      <c r="E1365">
        <v>16</v>
      </c>
      <c r="F1365">
        <v>8</v>
      </c>
    </row>
    <row r="1366" spans="1:6" x14ac:dyDescent="0.2">
      <c r="A1366">
        <v>20200803</v>
      </c>
      <c r="B1366" t="s">
        <v>99</v>
      </c>
      <c r="C1366" t="s">
        <v>9</v>
      </c>
      <c r="D1366">
        <v>72</v>
      </c>
      <c r="E1366">
        <v>72</v>
      </c>
      <c r="F1366">
        <v>44</v>
      </c>
    </row>
    <row r="1367" spans="1:6" x14ac:dyDescent="0.2">
      <c r="A1367">
        <v>20200803</v>
      </c>
      <c r="B1367" t="s">
        <v>108</v>
      </c>
      <c r="C1367" t="s">
        <v>7</v>
      </c>
      <c r="D1367">
        <v>1360</v>
      </c>
      <c r="E1367">
        <v>1360</v>
      </c>
      <c r="F1367">
        <v>862</v>
      </c>
    </row>
    <row r="1368" spans="1:6" x14ac:dyDescent="0.2">
      <c r="A1368">
        <v>20200803</v>
      </c>
      <c r="B1368" t="s">
        <v>108</v>
      </c>
      <c r="C1368" t="s">
        <v>9</v>
      </c>
      <c r="D1368">
        <v>1321</v>
      </c>
      <c r="E1368">
        <v>1321</v>
      </c>
      <c r="F1368">
        <v>869</v>
      </c>
    </row>
    <row r="1369" spans="1:6" x14ac:dyDescent="0.2">
      <c r="A1369">
        <v>20200803</v>
      </c>
      <c r="B1369" t="s">
        <v>44</v>
      </c>
      <c r="C1369" t="s">
        <v>9</v>
      </c>
      <c r="D1369">
        <v>6</v>
      </c>
      <c r="E1369">
        <v>6</v>
      </c>
      <c r="F1369">
        <v>0</v>
      </c>
    </row>
    <row r="1370" spans="1:6" x14ac:dyDescent="0.2">
      <c r="A1370">
        <v>20200803</v>
      </c>
      <c r="B1370" t="s">
        <v>97</v>
      </c>
      <c r="C1370" t="s">
        <v>9</v>
      </c>
      <c r="D1370">
        <v>6</v>
      </c>
      <c r="E1370">
        <v>6</v>
      </c>
      <c r="F1370">
        <v>0</v>
      </c>
    </row>
    <row r="1371" spans="1:6" x14ac:dyDescent="0.2">
      <c r="A1371">
        <v>20200803</v>
      </c>
      <c r="B1371" t="s">
        <v>76</v>
      </c>
      <c r="C1371" t="s">
        <v>7</v>
      </c>
      <c r="D1371">
        <v>118</v>
      </c>
      <c r="E1371">
        <v>118</v>
      </c>
      <c r="F1371">
        <v>80</v>
      </c>
    </row>
    <row r="1372" spans="1:6" x14ac:dyDescent="0.2">
      <c r="A1372">
        <v>20200803</v>
      </c>
      <c r="B1372" t="s">
        <v>76</v>
      </c>
      <c r="C1372" t="s">
        <v>9</v>
      </c>
      <c r="D1372">
        <v>177</v>
      </c>
      <c r="E1372">
        <v>177</v>
      </c>
      <c r="F1372">
        <v>145</v>
      </c>
    </row>
    <row r="1373" spans="1:6" x14ac:dyDescent="0.2">
      <c r="A1373">
        <v>20200803</v>
      </c>
      <c r="B1373" t="s">
        <v>62</v>
      </c>
      <c r="C1373" t="s">
        <v>7</v>
      </c>
      <c r="D1373">
        <v>63</v>
      </c>
      <c r="E1373">
        <v>48</v>
      </c>
      <c r="F1373">
        <v>26</v>
      </c>
    </row>
    <row r="1374" spans="1:6" x14ac:dyDescent="0.2">
      <c r="A1374">
        <v>20200803</v>
      </c>
      <c r="B1374" t="s">
        <v>62</v>
      </c>
      <c r="C1374" t="s">
        <v>9</v>
      </c>
      <c r="D1374">
        <v>41</v>
      </c>
      <c r="E1374">
        <v>27</v>
      </c>
      <c r="F1374">
        <v>11</v>
      </c>
    </row>
    <row r="1375" spans="1:6" x14ac:dyDescent="0.2">
      <c r="A1375">
        <v>20200803</v>
      </c>
      <c r="B1375" t="s">
        <v>158</v>
      </c>
      <c r="C1375" t="s">
        <v>7</v>
      </c>
      <c r="D1375">
        <v>32</v>
      </c>
      <c r="E1375">
        <v>21</v>
      </c>
      <c r="F1375">
        <v>1</v>
      </c>
    </row>
    <row r="1376" spans="1:6" x14ac:dyDescent="0.2">
      <c r="A1376">
        <v>20200803</v>
      </c>
      <c r="B1376" t="s">
        <v>158</v>
      </c>
      <c r="C1376" t="s">
        <v>9</v>
      </c>
      <c r="D1376">
        <v>344</v>
      </c>
      <c r="E1376">
        <v>249</v>
      </c>
      <c r="F1376">
        <v>46</v>
      </c>
    </row>
    <row r="1377" spans="1:6" x14ac:dyDescent="0.2">
      <c r="A1377">
        <v>20200803</v>
      </c>
      <c r="B1377" t="s">
        <v>118</v>
      </c>
      <c r="C1377" t="s">
        <v>7</v>
      </c>
      <c r="D1377">
        <v>2</v>
      </c>
      <c r="E1377">
        <v>2</v>
      </c>
      <c r="F1377">
        <v>0</v>
      </c>
    </row>
    <row r="1378" spans="1:6" x14ac:dyDescent="0.2">
      <c r="A1378">
        <v>20200803</v>
      </c>
      <c r="B1378" t="s">
        <v>118</v>
      </c>
      <c r="C1378" t="s">
        <v>9</v>
      </c>
      <c r="D1378">
        <v>2</v>
      </c>
      <c r="E1378">
        <v>2</v>
      </c>
      <c r="F1378">
        <v>1</v>
      </c>
    </row>
    <row r="1379" spans="1:6" x14ac:dyDescent="0.2">
      <c r="A1379">
        <v>20200803</v>
      </c>
      <c r="B1379" t="s">
        <v>53</v>
      </c>
      <c r="C1379" t="s">
        <v>9</v>
      </c>
      <c r="D1379">
        <v>82</v>
      </c>
      <c r="E1379">
        <v>82</v>
      </c>
      <c r="F1379">
        <v>53</v>
      </c>
    </row>
    <row r="1380" spans="1:6" x14ac:dyDescent="0.2">
      <c r="A1380">
        <v>20200803</v>
      </c>
      <c r="B1380" t="s">
        <v>95</v>
      </c>
      <c r="C1380" t="s">
        <v>7</v>
      </c>
      <c r="D1380">
        <v>272</v>
      </c>
      <c r="E1380">
        <v>272</v>
      </c>
      <c r="F1380">
        <v>144</v>
      </c>
    </row>
    <row r="1381" spans="1:6" x14ac:dyDescent="0.2">
      <c r="A1381">
        <v>20200803</v>
      </c>
      <c r="B1381" t="s">
        <v>95</v>
      </c>
      <c r="C1381" t="s">
        <v>9</v>
      </c>
      <c r="D1381">
        <v>241</v>
      </c>
      <c r="E1381">
        <v>241</v>
      </c>
      <c r="F1381">
        <v>126</v>
      </c>
    </row>
    <row r="1382" spans="1:6" x14ac:dyDescent="0.2">
      <c r="A1382">
        <v>20200803</v>
      </c>
      <c r="B1382" t="s">
        <v>64</v>
      </c>
      <c r="C1382" t="s">
        <v>9</v>
      </c>
      <c r="D1382">
        <v>1469</v>
      </c>
      <c r="E1382">
        <v>1469</v>
      </c>
      <c r="F1382">
        <v>1104</v>
      </c>
    </row>
    <row r="1383" spans="1:6" x14ac:dyDescent="0.2">
      <c r="A1383">
        <v>20200803</v>
      </c>
      <c r="B1383" t="s">
        <v>68</v>
      </c>
      <c r="C1383" t="s">
        <v>7</v>
      </c>
      <c r="D1383">
        <v>511</v>
      </c>
      <c r="E1383">
        <v>511</v>
      </c>
      <c r="F1383">
        <v>305</v>
      </c>
    </row>
    <row r="1384" spans="1:6" x14ac:dyDescent="0.2">
      <c r="A1384">
        <v>20200803</v>
      </c>
      <c r="B1384" t="s">
        <v>68</v>
      </c>
      <c r="C1384" t="s">
        <v>9</v>
      </c>
      <c r="D1384">
        <v>573</v>
      </c>
      <c r="E1384">
        <v>573</v>
      </c>
      <c r="F1384">
        <v>355</v>
      </c>
    </row>
    <row r="1385" spans="1:6" x14ac:dyDescent="0.2">
      <c r="A1385">
        <v>20200803</v>
      </c>
      <c r="B1385" t="s">
        <v>85</v>
      </c>
      <c r="C1385" t="s">
        <v>9</v>
      </c>
      <c r="D1385">
        <v>1636</v>
      </c>
      <c r="E1385">
        <v>1265</v>
      </c>
      <c r="F1385">
        <v>685</v>
      </c>
    </row>
    <row r="1386" spans="1:6" x14ac:dyDescent="0.2">
      <c r="A1386">
        <v>20200803</v>
      </c>
      <c r="B1386" t="s">
        <v>126</v>
      </c>
      <c r="C1386" t="s">
        <v>9</v>
      </c>
      <c r="D1386">
        <v>6</v>
      </c>
      <c r="E1386">
        <v>6</v>
      </c>
      <c r="F1386">
        <v>0</v>
      </c>
    </row>
    <row r="1387" spans="1:6" x14ac:dyDescent="0.2">
      <c r="A1387">
        <v>20200803</v>
      </c>
      <c r="B1387" t="s">
        <v>65</v>
      </c>
      <c r="C1387" t="s">
        <v>9</v>
      </c>
      <c r="D1387">
        <v>2</v>
      </c>
      <c r="E1387">
        <v>2</v>
      </c>
      <c r="F1387">
        <v>2</v>
      </c>
    </row>
    <row r="1388" spans="1:6" x14ac:dyDescent="0.2">
      <c r="A1388">
        <v>20200803</v>
      </c>
      <c r="B1388" t="s">
        <v>117</v>
      </c>
      <c r="C1388" t="s">
        <v>9</v>
      </c>
      <c r="D1388">
        <v>75</v>
      </c>
      <c r="E1388">
        <v>75</v>
      </c>
      <c r="F1388">
        <v>61</v>
      </c>
    </row>
    <row r="1389" spans="1:6" x14ac:dyDescent="0.2">
      <c r="A1389">
        <v>20200803</v>
      </c>
      <c r="B1389" t="s">
        <v>13</v>
      </c>
      <c r="C1389" t="s">
        <v>7</v>
      </c>
      <c r="D1389">
        <v>56</v>
      </c>
      <c r="E1389">
        <v>56</v>
      </c>
      <c r="F1389">
        <v>34</v>
      </c>
    </row>
    <row r="1390" spans="1:6" x14ac:dyDescent="0.2">
      <c r="A1390">
        <v>20200803</v>
      </c>
      <c r="B1390" t="s">
        <v>13</v>
      </c>
      <c r="C1390" t="s">
        <v>9</v>
      </c>
      <c r="D1390">
        <v>1007</v>
      </c>
      <c r="E1390">
        <v>1007</v>
      </c>
      <c r="F1390">
        <v>764</v>
      </c>
    </row>
    <row r="1391" spans="1:6" x14ac:dyDescent="0.2">
      <c r="A1391">
        <v>20200803</v>
      </c>
      <c r="B1391" t="s">
        <v>122</v>
      </c>
      <c r="C1391" t="s">
        <v>9</v>
      </c>
      <c r="D1391">
        <v>285</v>
      </c>
      <c r="E1391">
        <v>285</v>
      </c>
      <c r="F1391">
        <v>230</v>
      </c>
    </row>
    <row r="1392" spans="1:6" x14ac:dyDescent="0.2">
      <c r="A1392">
        <v>20200803</v>
      </c>
      <c r="B1392" t="s">
        <v>89</v>
      </c>
      <c r="C1392" t="s">
        <v>9</v>
      </c>
      <c r="D1392">
        <v>6</v>
      </c>
      <c r="E1392">
        <v>6</v>
      </c>
      <c r="F1392">
        <v>0</v>
      </c>
    </row>
    <row r="1393" spans="1:6" x14ac:dyDescent="0.2">
      <c r="A1393">
        <v>20200803</v>
      </c>
      <c r="B1393" t="s">
        <v>32</v>
      </c>
      <c r="C1393" t="s">
        <v>9</v>
      </c>
      <c r="D1393">
        <v>6</v>
      </c>
      <c r="E1393">
        <v>6</v>
      </c>
      <c r="F1393">
        <v>0</v>
      </c>
    </row>
    <row r="1394" spans="1:6" x14ac:dyDescent="0.2">
      <c r="A1394">
        <v>20200803</v>
      </c>
      <c r="B1394" t="s">
        <v>100</v>
      </c>
      <c r="C1394" t="s">
        <v>9</v>
      </c>
      <c r="D1394">
        <v>994</v>
      </c>
      <c r="E1394">
        <v>994</v>
      </c>
      <c r="F1394">
        <v>606</v>
      </c>
    </row>
    <row r="1395" spans="1:6" x14ac:dyDescent="0.2">
      <c r="A1395">
        <v>20200803</v>
      </c>
      <c r="B1395" t="s">
        <v>112</v>
      </c>
      <c r="C1395" t="s">
        <v>9</v>
      </c>
      <c r="D1395">
        <v>6</v>
      </c>
      <c r="E1395">
        <v>6</v>
      </c>
      <c r="F1395">
        <v>0</v>
      </c>
    </row>
    <row r="1396" spans="1:6" x14ac:dyDescent="0.2">
      <c r="A1396">
        <v>20200803</v>
      </c>
      <c r="B1396" t="s">
        <v>86</v>
      </c>
      <c r="C1396" t="s">
        <v>7</v>
      </c>
      <c r="D1396">
        <v>922</v>
      </c>
      <c r="E1396">
        <v>10</v>
      </c>
      <c r="F1396">
        <v>8</v>
      </c>
    </row>
    <row r="1397" spans="1:6" x14ac:dyDescent="0.2">
      <c r="A1397">
        <v>20200803</v>
      </c>
      <c r="B1397" t="s">
        <v>86</v>
      </c>
      <c r="C1397" t="s">
        <v>9</v>
      </c>
      <c r="D1397">
        <v>902</v>
      </c>
      <c r="E1397">
        <v>14</v>
      </c>
      <c r="F1397">
        <v>13</v>
      </c>
    </row>
    <row r="1398" spans="1:6" x14ac:dyDescent="0.2">
      <c r="A1398">
        <v>20200803</v>
      </c>
      <c r="B1398" t="s">
        <v>26</v>
      </c>
      <c r="C1398" t="s">
        <v>9</v>
      </c>
      <c r="D1398">
        <v>6</v>
      </c>
      <c r="E1398">
        <v>6</v>
      </c>
      <c r="F1398">
        <v>0</v>
      </c>
    </row>
    <row r="1399" spans="1:6" x14ac:dyDescent="0.2">
      <c r="A1399">
        <v>20200803</v>
      </c>
      <c r="B1399" t="s">
        <v>59</v>
      </c>
      <c r="C1399" t="s">
        <v>9</v>
      </c>
      <c r="D1399">
        <v>5</v>
      </c>
      <c r="E1399">
        <v>5</v>
      </c>
      <c r="F1399">
        <v>0</v>
      </c>
    </row>
    <row r="1400" spans="1:6" x14ac:dyDescent="0.2">
      <c r="A1400">
        <v>20200803</v>
      </c>
      <c r="B1400" t="s">
        <v>37</v>
      </c>
      <c r="C1400" t="s">
        <v>7</v>
      </c>
      <c r="D1400">
        <v>10</v>
      </c>
      <c r="E1400">
        <v>7</v>
      </c>
      <c r="F1400">
        <v>2</v>
      </c>
    </row>
    <row r="1401" spans="1:6" x14ac:dyDescent="0.2">
      <c r="A1401">
        <v>20200803</v>
      </c>
      <c r="B1401" t="s">
        <v>37</v>
      </c>
      <c r="C1401" t="s">
        <v>9</v>
      </c>
      <c r="D1401">
        <v>10</v>
      </c>
      <c r="E1401">
        <v>5</v>
      </c>
      <c r="F1401">
        <v>0</v>
      </c>
    </row>
    <row r="1402" spans="1:6" x14ac:dyDescent="0.2">
      <c r="A1402">
        <v>20200803</v>
      </c>
      <c r="B1402" t="s">
        <v>29</v>
      </c>
      <c r="C1402" t="s">
        <v>9</v>
      </c>
      <c r="D1402">
        <v>12</v>
      </c>
      <c r="E1402">
        <v>8</v>
      </c>
      <c r="F1402">
        <v>1</v>
      </c>
    </row>
    <row r="1403" spans="1:6" x14ac:dyDescent="0.2">
      <c r="A1403">
        <v>20200803</v>
      </c>
      <c r="B1403" t="s">
        <v>105</v>
      </c>
      <c r="C1403" t="s">
        <v>7</v>
      </c>
      <c r="D1403">
        <v>809</v>
      </c>
      <c r="E1403">
        <v>0</v>
      </c>
      <c r="F1403">
        <v>0</v>
      </c>
    </row>
    <row r="1404" spans="1:6" x14ac:dyDescent="0.2">
      <c r="A1404">
        <v>20200803</v>
      </c>
      <c r="B1404" t="s">
        <v>105</v>
      </c>
      <c r="C1404" t="s">
        <v>9</v>
      </c>
      <c r="D1404">
        <v>864</v>
      </c>
      <c r="E1404">
        <v>0</v>
      </c>
      <c r="F1404">
        <v>0</v>
      </c>
    </row>
    <row r="1405" spans="1:6" x14ac:dyDescent="0.2">
      <c r="A1405">
        <v>20200803</v>
      </c>
      <c r="B1405" t="s">
        <v>106</v>
      </c>
      <c r="C1405" t="s">
        <v>7</v>
      </c>
      <c r="D1405">
        <v>27</v>
      </c>
      <c r="E1405">
        <v>0</v>
      </c>
      <c r="F1405">
        <v>0</v>
      </c>
    </row>
    <row r="1406" spans="1:6" x14ac:dyDescent="0.2">
      <c r="A1406">
        <v>20200803</v>
      </c>
      <c r="B1406" t="s">
        <v>106</v>
      </c>
      <c r="C1406" t="s">
        <v>9</v>
      </c>
      <c r="D1406">
        <v>31</v>
      </c>
      <c r="E1406">
        <v>0</v>
      </c>
      <c r="F1406">
        <v>0</v>
      </c>
    </row>
    <row r="1407" spans="1:6" x14ac:dyDescent="0.2">
      <c r="A1407">
        <v>20200803</v>
      </c>
      <c r="B1407" t="s">
        <v>75</v>
      </c>
      <c r="C1407" t="s">
        <v>9</v>
      </c>
      <c r="D1407">
        <v>85</v>
      </c>
      <c r="E1407">
        <v>85</v>
      </c>
      <c r="F1407">
        <v>60</v>
      </c>
    </row>
    <row r="1408" spans="1:6" x14ac:dyDescent="0.2">
      <c r="A1408">
        <v>20200803</v>
      </c>
      <c r="B1408" t="s">
        <v>137</v>
      </c>
      <c r="C1408" t="s">
        <v>9</v>
      </c>
      <c r="D1408">
        <v>6</v>
      </c>
      <c r="E1408">
        <v>6</v>
      </c>
      <c r="F1408">
        <v>0</v>
      </c>
    </row>
    <row r="1409" spans="1:6" x14ac:dyDescent="0.2">
      <c r="A1409">
        <v>20200803</v>
      </c>
      <c r="B1409" t="s">
        <v>8</v>
      </c>
      <c r="C1409" t="s">
        <v>9</v>
      </c>
      <c r="D1409">
        <v>6</v>
      </c>
      <c r="E1409">
        <v>6</v>
      </c>
      <c r="F1409">
        <v>0</v>
      </c>
    </row>
    <row r="1410" spans="1:6" x14ac:dyDescent="0.2">
      <c r="A1410">
        <v>20200803</v>
      </c>
      <c r="B1410" t="s">
        <v>103</v>
      </c>
      <c r="C1410" t="s">
        <v>9</v>
      </c>
      <c r="D1410">
        <v>51</v>
      </c>
      <c r="E1410">
        <v>51</v>
      </c>
      <c r="F1410">
        <v>37</v>
      </c>
    </row>
    <row r="1411" spans="1:6" x14ac:dyDescent="0.2">
      <c r="A1411">
        <v>20200803</v>
      </c>
      <c r="B1411" t="s">
        <v>143</v>
      </c>
      <c r="C1411" t="s">
        <v>9</v>
      </c>
      <c r="D1411">
        <v>13</v>
      </c>
      <c r="E1411">
        <v>9</v>
      </c>
      <c r="F1411">
        <v>0</v>
      </c>
    </row>
    <row r="1412" spans="1:6" x14ac:dyDescent="0.2">
      <c r="A1412">
        <v>20200803</v>
      </c>
      <c r="B1412" t="s">
        <v>109</v>
      </c>
      <c r="C1412" t="s">
        <v>9</v>
      </c>
      <c r="D1412">
        <v>7</v>
      </c>
      <c r="E1412">
        <v>7</v>
      </c>
      <c r="F1412">
        <v>1</v>
      </c>
    </row>
    <row r="1413" spans="1:6" x14ac:dyDescent="0.2">
      <c r="A1413">
        <v>20200803</v>
      </c>
      <c r="B1413" t="s">
        <v>159</v>
      </c>
      <c r="C1413" t="s">
        <v>7</v>
      </c>
      <c r="D1413">
        <v>1077</v>
      </c>
      <c r="E1413">
        <v>756</v>
      </c>
      <c r="F1413">
        <v>334</v>
      </c>
    </row>
    <row r="1414" spans="1:6" x14ac:dyDescent="0.2">
      <c r="A1414">
        <v>20200803</v>
      </c>
      <c r="B1414" t="s">
        <v>159</v>
      </c>
      <c r="C1414" t="s">
        <v>9</v>
      </c>
      <c r="D1414">
        <v>1594</v>
      </c>
      <c r="E1414">
        <v>1270</v>
      </c>
      <c r="F1414">
        <v>625</v>
      </c>
    </row>
    <row r="1415" spans="1:6" x14ac:dyDescent="0.2">
      <c r="A1415">
        <v>20200803</v>
      </c>
      <c r="B1415" t="s">
        <v>135</v>
      </c>
      <c r="C1415" t="s">
        <v>9</v>
      </c>
      <c r="D1415">
        <v>457</v>
      </c>
      <c r="E1415">
        <v>457</v>
      </c>
      <c r="F1415">
        <v>305</v>
      </c>
    </row>
    <row r="1416" spans="1:6" x14ac:dyDescent="0.2">
      <c r="A1416">
        <v>20200803</v>
      </c>
      <c r="B1416" t="s">
        <v>60</v>
      </c>
      <c r="C1416" t="s">
        <v>9</v>
      </c>
      <c r="D1416">
        <v>6</v>
      </c>
      <c r="E1416">
        <v>6</v>
      </c>
      <c r="F1416">
        <v>0</v>
      </c>
    </row>
    <row r="1417" spans="1:6" x14ac:dyDescent="0.2">
      <c r="A1417">
        <v>20200803</v>
      </c>
      <c r="B1417" t="s">
        <v>114</v>
      </c>
      <c r="C1417" t="s">
        <v>7</v>
      </c>
      <c r="D1417">
        <v>173</v>
      </c>
      <c r="E1417">
        <v>173</v>
      </c>
      <c r="F1417">
        <v>95</v>
      </c>
    </row>
    <row r="1418" spans="1:6" x14ac:dyDescent="0.2">
      <c r="A1418">
        <v>20200803</v>
      </c>
      <c r="B1418" t="s">
        <v>114</v>
      </c>
      <c r="C1418" t="s">
        <v>9</v>
      </c>
      <c r="D1418">
        <v>242</v>
      </c>
      <c r="E1418">
        <v>242</v>
      </c>
      <c r="F1418">
        <v>181</v>
      </c>
    </row>
    <row r="1419" spans="1:6" x14ac:dyDescent="0.2">
      <c r="A1419">
        <v>20200803</v>
      </c>
      <c r="B1419" t="s">
        <v>78</v>
      </c>
      <c r="C1419" t="s">
        <v>7</v>
      </c>
      <c r="D1419">
        <v>34</v>
      </c>
      <c r="E1419">
        <v>34</v>
      </c>
      <c r="F1419">
        <v>16</v>
      </c>
    </row>
    <row r="1420" spans="1:6" x14ac:dyDescent="0.2">
      <c r="A1420">
        <v>20200803</v>
      </c>
      <c r="B1420" t="s">
        <v>78</v>
      </c>
      <c r="C1420" t="s">
        <v>9</v>
      </c>
      <c r="D1420">
        <v>192</v>
      </c>
      <c r="E1420">
        <v>192</v>
      </c>
      <c r="F1420">
        <v>109</v>
      </c>
    </row>
    <row r="1421" spans="1:6" x14ac:dyDescent="0.2">
      <c r="A1421">
        <v>20200803</v>
      </c>
      <c r="B1421" t="s">
        <v>83</v>
      </c>
      <c r="C1421" t="s">
        <v>7</v>
      </c>
      <c r="D1421">
        <v>1</v>
      </c>
      <c r="E1421">
        <v>1</v>
      </c>
      <c r="F1421">
        <v>0</v>
      </c>
    </row>
    <row r="1422" spans="1:6" x14ac:dyDescent="0.2">
      <c r="A1422">
        <v>20200803</v>
      </c>
      <c r="B1422" t="s">
        <v>83</v>
      </c>
      <c r="C1422" t="s">
        <v>9</v>
      </c>
      <c r="D1422">
        <v>118</v>
      </c>
      <c r="E1422">
        <v>118</v>
      </c>
      <c r="F1422">
        <v>66</v>
      </c>
    </row>
    <row r="1423" spans="1:6" x14ac:dyDescent="0.2">
      <c r="A1423">
        <v>20200803</v>
      </c>
      <c r="B1423" t="s">
        <v>42</v>
      </c>
      <c r="C1423" t="s">
        <v>9</v>
      </c>
      <c r="D1423">
        <v>6</v>
      </c>
      <c r="E1423">
        <v>6</v>
      </c>
      <c r="F1423">
        <v>0</v>
      </c>
    </row>
    <row r="1424" spans="1:6" x14ac:dyDescent="0.2">
      <c r="A1424">
        <v>20200803</v>
      </c>
      <c r="B1424" t="s">
        <v>125</v>
      </c>
      <c r="C1424" t="s">
        <v>9</v>
      </c>
      <c r="D1424">
        <v>184</v>
      </c>
      <c r="E1424">
        <v>184</v>
      </c>
      <c r="F1424">
        <v>146</v>
      </c>
    </row>
    <row r="1425" spans="1:6" x14ac:dyDescent="0.2">
      <c r="A1425">
        <v>20200803</v>
      </c>
      <c r="B1425" t="s">
        <v>81</v>
      </c>
      <c r="C1425" t="s">
        <v>7</v>
      </c>
      <c r="D1425">
        <v>461</v>
      </c>
      <c r="E1425">
        <v>1</v>
      </c>
      <c r="F1425">
        <v>1</v>
      </c>
    </row>
    <row r="1426" spans="1:6" x14ac:dyDescent="0.2">
      <c r="A1426">
        <v>20200803</v>
      </c>
      <c r="B1426" t="s">
        <v>81</v>
      </c>
      <c r="C1426" t="s">
        <v>9</v>
      </c>
      <c r="D1426">
        <v>505</v>
      </c>
      <c r="E1426">
        <v>1</v>
      </c>
      <c r="F1426">
        <v>0</v>
      </c>
    </row>
    <row r="1427" spans="1:6" x14ac:dyDescent="0.2">
      <c r="A1427">
        <v>20200803</v>
      </c>
      <c r="B1427" t="s">
        <v>107</v>
      </c>
      <c r="C1427" t="s">
        <v>7</v>
      </c>
      <c r="D1427">
        <v>155</v>
      </c>
      <c r="E1427">
        <v>155</v>
      </c>
      <c r="F1427">
        <v>63</v>
      </c>
    </row>
    <row r="1428" spans="1:6" x14ac:dyDescent="0.2">
      <c r="A1428">
        <v>20200803</v>
      </c>
      <c r="B1428" t="s">
        <v>107</v>
      </c>
      <c r="C1428" t="s">
        <v>9</v>
      </c>
      <c r="D1428">
        <v>80</v>
      </c>
      <c r="E1428">
        <v>80</v>
      </c>
      <c r="F1428">
        <v>44</v>
      </c>
    </row>
    <row r="1429" spans="1:6" x14ac:dyDescent="0.2">
      <c r="A1429">
        <v>20200803</v>
      </c>
      <c r="B1429" t="s">
        <v>48</v>
      </c>
      <c r="C1429" t="s">
        <v>9</v>
      </c>
      <c r="D1429">
        <v>1104</v>
      </c>
      <c r="E1429">
        <v>1104</v>
      </c>
      <c r="F1429">
        <v>744</v>
      </c>
    </row>
    <row r="1430" spans="1:6" x14ac:dyDescent="0.2">
      <c r="A1430">
        <v>20200803</v>
      </c>
      <c r="B1430" t="s">
        <v>24</v>
      </c>
      <c r="C1430" t="s">
        <v>9</v>
      </c>
      <c r="D1430">
        <v>3</v>
      </c>
      <c r="E1430">
        <v>0</v>
      </c>
      <c r="F1430">
        <v>0</v>
      </c>
    </row>
    <row r="1431" spans="1:6" x14ac:dyDescent="0.2">
      <c r="A1431">
        <v>20200803</v>
      </c>
      <c r="B1431" t="s">
        <v>93</v>
      </c>
      <c r="C1431" t="s">
        <v>7</v>
      </c>
      <c r="D1431">
        <v>875</v>
      </c>
      <c r="E1431">
        <v>875</v>
      </c>
      <c r="F1431">
        <v>665</v>
      </c>
    </row>
    <row r="1432" spans="1:6" x14ac:dyDescent="0.2">
      <c r="A1432">
        <v>20200803</v>
      </c>
      <c r="B1432" t="s">
        <v>93</v>
      </c>
      <c r="C1432" t="s">
        <v>9</v>
      </c>
      <c r="D1432">
        <v>526</v>
      </c>
      <c r="E1432">
        <v>526</v>
      </c>
      <c r="F1432">
        <v>404</v>
      </c>
    </row>
    <row r="1433" spans="1:6" x14ac:dyDescent="0.2">
      <c r="A1433">
        <v>20200803</v>
      </c>
      <c r="B1433" t="s">
        <v>30</v>
      </c>
      <c r="C1433" t="s">
        <v>9</v>
      </c>
      <c r="D1433">
        <v>79</v>
      </c>
      <c r="E1433">
        <v>79</v>
      </c>
      <c r="F1433">
        <v>50</v>
      </c>
    </row>
    <row r="1434" spans="1:6" x14ac:dyDescent="0.2">
      <c r="A1434">
        <v>20200803</v>
      </c>
      <c r="B1434" t="s">
        <v>67</v>
      </c>
      <c r="C1434" t="s">
        <v>9</v>
      </c>
      <c r="D1434">
        <v>6</v>
      </c>
      <c r="E1434">
        <v>6</v>
      </c>
      <c r="F1434">
        <v>0</v>
      </c>
    </row>
    <row r="1435" spans="1:6" x14ac:dyDescent="0.2">
      <c r="A1435">
        <v>20200803</v>
      </c>
      <c r="B1435" t="s">
        <v>22</v>
      </c>
      <c r="C1435" t="s">
        <v>7</v>
      </c>
      <c r="D1435">
        <v>4832</v>
      </c>
      <c r="E1435">
        <v>4832</v>
      </c>
      <c r="F1435">
        <v>3667</v>
      </c>
    </row>
    <row r="1436" spans="1:6" x14ac:dyDescent="0.2">
      <c r="A1436">
        <v>20200803</v>
      </c>
      <c r="B1436" t="s">
        <v>22</v>
      </c>
      <c r="C1436" t="s">
        <v>9</v>
      </c>
      <c r="D1436">
        <v>3289</v>
      </c>
      <c r="E1436">
        <v>3289</v>
      </c>
      <c r="F1436">
        <v>2630</v>
      </c>
    </row>
    <row r="1437" spans="1:6" x14ac:dyDescent="0.2">
      <c r="A1437">
        <v>20200803</v>
      </c>
      <c r="B1437" t="s">
        <v>55</v>
      </c>
      <c r="C1437" t="s">
        <v>9</v>
      </c>
      <c r="D1437">
        <v>1331</v>
      </c>
      <c r="E1437">
        <v>1331</v>
      </c>
      <c r="F1437">
        <v>949</v>
      </c>
    </row>
    <row r="1438" spans="1:6" x14ac:dyDescent="0.2">
      <c r="A1438">
        <v>20200803</v>
      </c>
      <c r="B1438" t="s">
        <v>10</v>
      </c>
      <c r="C1438" t="s">
        <v>9</v>
      </c>
      <c r="D1438">
        <v>6</v>
      </c>
      <c r="E1438">
        <v>6</v>
      </c>
      <c r="F1438">
        <v>0</v>
      </c>
    </row>
    <row r="1439" spans="1:6" x14ac:dyDescent="0.2">
      <c r="A1439">
        <v>20200803</v>
      </c>
      <c r="B1439" t="s">
        <v>111</v>
      </c>
      <c r="C1439" t="s">
        <v>9</v>
      </c>
      <c r="D1439">
        <v>860</v>
      </c>
      <c r="E1439">
        <v>860</v>
      </c>
      <c r="F1439">
        <v>575</v>
      </c>
    </row>
    <row r="1440" spans="1:6" x14ac:dyDescent="0.2">
      <c r="A1440">
        <v>20200803</v>
      </c>
      <c r="B1440" t="s">
        <v>110</v>
      </c>
      <c r="C1440" t="s">
        <v>7</v>
      </c>
      <c r="D1440">
        <v>72</v>
      </c>
      <c r="E1440">
        <v>56</v>
      </c>
      <c r="F1440">
        <v>33</v>
      </c>
    </row>
    <row r="1441" spans="1:6" x14ac:dyDescent="0.2">
      <c r="A1441">
        <v>20200803</v>
      </c>
      <c r="B1441" t="s">
        <v>110</v>
      </c>
      <c r="C1441" t="s">
        <v>9</v>
      </c>
      <c r="D1441">
        <v>28</v>
      </c>
      <c r="E1441">
        <v>18</v>
      </c>
      <c r="F1441">
        <v>12</v>
      </c>
    </row>
    <row r="1442" spans="1:6" x14ac:dyDescent="0.2">
      <c r="A1442">
        <v>20200803</v>
      </c>
      <c r="C1442" t="s">
        <v>7</v>
      </c>
      <c r="D1442">
        <v>10341</v>
      </c>
      <c r="E1442">
        <v>0</v>
      </c>
      <c r="F1442">
        <v>0</v>
      </c>
    </row>
    <row r="1443" spans="1:6" x14ac:dyDescent="0.2">
      <c r="A1443">
        <v>20200803</v>
      </c>
      <c r="C1443" t="s">
        <v>9</v>
      </c>
      <c r="D1443">
        <v>10681</v>
      </c>
      <c r="E1443">
        <v>0</v>
      </c>
      <c r="F1443">
        <v>0</v>
      </c>
    </row>
    <row r="1444" spans="1:6" x14ac:dyDescent="0.2">
      <c r="A1444">
        <v>20200804</v>
      </c>
      <c r="B1444" t="s">
        <v>82</v>
      </c>
      <c r="C1444" t="s">
        <v>7</v>
      </c>
      <c r="D1444">
        <v>8055</v>
      </c>
      <c r="E1444">
        <v>8055</v>
      </c>
      <c r="F1444">
        <v>5042</v>
      </c>
    </row>
    <row r="1445" spans="1:6" x14ac:dyDescent="0.2">
      <c r="A1445">
        <v>20200804</v>
      </c>
      <c r="B1445" t="s">
        <v>82</v>
      </c>
      <c r="C1445" t="s">
        <v>9</v>
      </c>
      <c r="D1445">
        <v>2219</v>
      </c>
      <c r="E1445">
        <v>2219</v>
      </c>
      <c r="F1445">
        <v>1426</v>
      </c>
    </row>
    <row r="1446" spans="1:6" x14ac:dyDescent="0.2">
      <c r="A1446">
        <v>20200804</v>
      </c>
      <c r="B1446" t="s">
        <v>34</v>
      </c>
      <c r="C1446" t="s">
        <v>7</v>
      </c>
      <c r="D1446">
        <v>2274</v>
      </c>
      <c r="E1446">
        <v>1641</v>
      </c>
      <c r="F1446">
        <v>859</v>
      </c>
    </row>
    <row r="1447" spans="1:6" x14ac:dyDescent="0.2">
      <c r="A1447">
        <v>20200804</v>
      </c>
      <c r="B1447" t="s">
        <v>34</v>
      </c>
      <c r="C1447" t="s">
        <v>9</v>
      </c>
      <c r="D1447">
        <v>533</v>
      </c>
      <c r="E1447">
        <v>384</v>
      </c>
      <c r="F1447">
        <v>186</v>
      </c>
    </row>
    <row r="1448" spans="1:6" x14ac:dyDescent="0.2">
      <c r="A1448">
        <v>20200804</v>
      </c>
      <c r="B1448" t="s">
        <v>40</v>
      </c>
      <c r="C1448" t="s">
        <v>7</v>
      </c>
      <c r="D1448">
        <v>4</v>
      </c>
      <c r="E1448">
        <v>2</v>
      </c>
      <c r="F1448">
        <v>0</v>
      </c>
    </row>
    <row r="1449" spans="1:6" x14ac:dyDescent="0.2">
      <c r="A1449">
        <v>20200804</v>
      </c>
      <c r="B1449" t="s">
        <v>40</v>
      </c>
      <c r="C1449" t="s">
        <v>9</v>
      </c>
      <c r="D1449">
        <v>327</v>
      </c>
      <c r="E1449">
        <v>240</v>
      </c>
      <c r="F1449">
        <v>41</v>
      </c>
    </row>
    <row r="1450" spans="1:6" x14ac:dyDescent="0.2">
      <c r="A1450">
        <v>20200804</v>
      </c>
      <c r="B1450" t="s">
        <v>94</v>
      </c>
      <c r="C1450" t="s">
        <v>9</v>
      </c>
      <c r="D1450">
        <v>73</v>
      </c>
      <c r="E1450">
        <v>73</v>
      </c>
      <c r="F1450">
        <v>53</v>
      </c>
    </row>
    <row r="1451" spans="1:6" x14ac:dyDescent="0.2">
      <c r="A1451">
        <v>20200804</v>
      </c>
      <c r="B1451" t="s">
        <v>45</v>
      </c>
      <c r="C1451" t="s">
        <v>7</v>
      </c>
      <c r="D1451">
        <v>3491</v>
      </c>
      <c r="E1451">
        <v>2</v>
      </c>
      <c r="F1451">
        <v>1</v>
      </c>
    </row>
    <row r="1452" spans="1:6" x14ac:dyDescent="0.2">
      <c r="A1452">
        <v>20200804</v>
      </c>
      <c r="B1452" t="s">
        <v>45</v>
      </c>
      <c r="C1452" t="s">
        <v>9</v>
      </c>
      <c r="D1452">
        <v>3483</v>
      </c>
      <c r="E1452">
        <v>6</v>
      </c>
      <c r="F1452">
        <v>5</v>
      </c>
    </row>
    <row r="1453" spans="1:6" x14ac:dyDescent="0.2">
      <c r="A1453">
        <v>20200804</v>
      </c>
      <c r="B1453" t="s">
        <v>69</v>
      </c>
      <c r="C1453" t="s">
        <v>7</v>
      </c>
      <c r="D1453">
        <v>738</v>
      </c>
      <c r="E1453">
        <v>1</v>
      </c>
      <c r="F1453">
        <v>0</v>
      </c>
    </row>
    <row r="1454" spans="1:6" x14ac:dyDescent="0.2">
      <c r="A1454">
        <v>20200804</v>
      </c>
      <c r="B1454" t="s">
        <v>69</v>
      </c>
      <c r="C1454" t="s">
        <v>9</v>
      </c>
      <c r="D1454">
        <v>713</v>
      </c>
      <c r="E1454">
        <v>2</v>
      </c>
      <c r="F1454">
        <v>1</v>
      </c>
    </row>
    <row r="1455" spans="1:6" x14ac:dyDescent="0.2">
      <c r="A1455">
        <v>20200804</v>
      </c>
      <c r="B1455" t="s">
        <v>101</v>
      </c>
      <c r="C1455" t="s">
        <v>7</v>
      </c>
      <c r="D1455">
        <v>2127</v>
      </c>
      <c r="E1455">
        <v>9</v>
      </c>
      <c r="F1455">
        <v>6</v>
      </c>
    </row>
    <row r="1456" spans="1:6" x14ac:dyDescent="0.2">
      <c r="A1456">
        <v>20200804</v>
      </c>
      <c r="B1456" t="s">
        <v>101</v>
      </c>
      <c r="C1456" t="s">
        <v>9</v>
      </c>
      <c r="D1456">
        <v>2189</v>
      </c>
      <c r="E1456">
        <v>3</v>
      </c>
      <c r="F1456">
        <v>3</v>
      </c>
    </row>
    <row r="1457" spans="1:6" x14ac:dyDescent="0.2">
      <c r="A1457">
        <v>20200804</v>
      </c>
      <c r="B1457" t="s">
        <v>31</v>
      </c>
      <c r="C1457" t="s">
        <v>9</v>
      </c>
      <c r="D1457">
        <v>41</v>
      </c>
      <c r="E1457">
        <v>28</v>
      </c>
      <c r="F1457">
        <v>11</v>
      </c>
    </row>
    <row r="1458" spans="1:6" x14ac:dyDescent="0.2">
      <c r="A1458">
        <v>20200804</v>
      </c>
      <c r="B1458" t="s">
        <v>11</v>
      </c>
      <c r="C1458" t="s">
        <v>7</v>
      </c>
      <c r="D1458">
        <v>12418</v>
      </c>
      <c r="E1458">
        <v>2</v>
      </c>
      <c r="F1458">
        <v>0</v>
      </c>
    </row>
    <row r="1459" spans="1:6" x14ac:dyDescent="0.2">
      <c r="A1459">
        <v>20200804</v>
      </c>
      <c r="B1459" t="s">
        <v>11</v>
      </c>
      <c r="C1459" t="s">
        <v>9</v>
      </c>
      <c r="D1459">
        <v>12549</v>
      </c>
      <c r="E1459">
        <v>2</v>
      </c>
      <c r="F1459">
        <v>0</v>
      </c>
    </row>
    <row r="1460" spans="1:6" x14ac:dyDescent="0.2">
      <c r="A1460">
        <v>20200804</v>
      </c>
      <c r="B1460" t="s">
        <v>16</v>
      </c>
      <c r="C1460" t="s">
        <v>7</v>
      </c>
      <c r="D1460">
        <v>505</v>
      </c>
      <c r="E1460">
        <v>505</v>
      </c>
      <c r="F1460">
        <v>332</v>
      </c>
    </row>
    <row r="1461" spans="1:6" x14ac:dyDescent="0.2">
      <c r="A1461">
        <v>20200804</v>
      </c>
      <c r="B1461" t="s">
        <v>16</v>
      </c>
      <c r="C1461" t="s">
        <v>9</v>
      </c>
      <c r="D1461">
        <v>393</v>
      </c>
      <c r="E1461">
        <v>393</v>
      </c>
      <c r="F1461">
        <v>262</v>
      </c>
    </row>
    <row r="1462" spans="1:6" x14ac:dyDescent="0.2">
      <c r="A1462">
        <v>20200804</v>
      </c>
      <c r="B1462" t="s">
        <v>120</v>
      </c>
      <c r="C1462" t="s">
        <v>9</v>
      </c>
      <c r="D1462">
        <v>1</v>
      </c>
      <c r="E1462">
        <v>1</v>
      </c>
      <c r="F1462">
        <v>0</v>
      </c>
    </row>
    <row r="1463" spans="1:6" x14ac:dyDescent="0.2">
      <c r="A1463">
        <v>20200804</v>
      </c>
      <c r="B1463" t="s">
        <v>119</v>
      </c>
      <c r="C1463" t="s">
        <v>7</v>
      </c>
      <c r="D1463">
        <v>167</v>
      </c>
      <c r="E1463">
        <v>167</v>
      </c>
      <c r="F1463">
        <v>61</v>
      </c>
    </row>
    <row r="1464" spans="1:6" x14ac:dyDescent="0.2">
      <c r="A1464">
        <v>20200804</v>
      </c>
      <c r="B1464" t="s">
        <v>119</v>
      </c>
      <c r="C1464" t="s">
        <v>9</v>
      </c>
      <c r="D1464">
        <v>474</v>
      </c>
      <c r="E1464">
        <v>474</v>
      </c>
      <c r="F1464">
        <v>166</v>
      </c>
    </row>
    <row r="1465" spans="1:6" x14ac:dyDescent="0.2">
      <c r="A1465">
        <v>20200804</v>
      </c>
      <c r="B1465" t="s">
        <v>51</v>
      </c>
      <c r="C1465" t="s">
        <v>7</v>
      </c>
      <c r="D1465">
        <v>560</v>
      </c>
      <c r="E1465">
        <v>560</v>
      </c>
      <c r="F1465">
        <v>290</v>
      </c>
    </row>
    <row r="1466" spans="1:6" x14ac:dyDescent="0.2">
      <c r="A1466">
        <v>20200804</v>
      </c>
      <c r="B1466" t="s">
        <v>51</v>
      </c>
      <c r="C1466" t="s">
        <v>9</v>
      </c>
      <c r="D1466">
        <v>263</v>
      </c>
      <c r="E1466">
        <v>263</v>
      </c>
      <c r="F1466">
        <v>139</v>
      </c>
    </row>
    <row r="1467" spans="1:6" x14ac:dyDescent="0.2">
      <c r="A1467">
        <v>20200804</v>
      </c>
      <c r="B1467" t="s">
        <v>36</v>
      </c>
      <c r="C1467" t="s">
        <v>7</v>
      </c>
      <c r="D1467">
        <v>44</v>
      </c>
      <c r="E1467">
        <v>34</v>
      </c>
      <c r="F1467">
        <v>12</v>
      </c>
    </row>
    <row r="1468" spans="1:6" x14ac:dyDescent="0.2">
      <c r="A1468">
        <v>20200804</v>
      </c>
      <c r="B1468" t="s">
        <v>36</v>
      </c>
      <c r="C1468" t="s">
        <v>9</v>
      </c>
      <c r="D1468">
        <v>626</v>
      </c>
      <c r="E1468">
        <v>445</v>
      </c>
      <c r="F1468">
        <v>167</v>
      </c>
    </row>
    <row r="1469" spans="1:6" x14ac:dyDescent="0.2">
      <c r="A1469">
        <v>20200804</v>
      </c>
      <c r="B1469" t="s">
        <v>27</v>
      </c>
      <c r="C1469" t="s">
        <v>9</v>
      </c>
      <c r="D1469">
        <v>125</v>
      </c>
      <c r="E1469">
        <v>125</v>
      </c>
      <c r="F1469">
        <v>78</v>
      </c>
    </row>
    <row r="1470" spans="1:6" x14ac:dyDescent="0.2">
      <c r="A1470">
        <v>20200804</v>
      </c>
      <c r="B1470" t="s">
        <v>35</v>
      </c>
      <c r="C1470" t="s">
        <v>9</v>
      </c>
      <c r="D1470">
        <v>174</v>
      </c>
      <c r="E1470">
        <v>174</v>
      </c>
      <c r="F1470">
        <v>99</v>
      </c>
    </row>
    <row r="1471" spans="1:6" x14ac:dyDescent="0.2">
      <c r="A1471">
        <v>20200804</v>
      </c>
      <c r="B1471" t="s">
        <v>84</v>
      </c>
      <c r="C1471" t="s">
        <v>9</v>
      </c>
      <c r="D1471">
        <v>157</v>
      </c>
      <c r="E1471">
        <v>157</v>
      </c>
      <c r="F1471">
        <v>98</v>
      </c>
    </row>
    <row r="1472" spans="1:6" x14ac:dyDescent="0.2">
      <c r="A1472">
        <v>20200804</v>
      </c>
      <c r="B1472" t="s">
        <v>61</v>
      </c>
      <c r="C1472" t="s">
        <v>9</v>
      </c>
      <c r="D1472">
        <v>1</v>
      </c>
      <c r="E1472">
        <v>1</v>
      </c>
      <c r="F1472">
        <v>0</v>
      </c>
    </row>
    <row r="1473" spans="1:6" x14ac:dyDescent="0.2">
      <c r="A1473">
        <v>20200804</v>
      </c>
      <c r="B1473" t="s">
        <v>20</v>
      </c>
      <c r="C1473" t="s">
        <v>7</v>
      </c>
      <c r="D1473">
        <v>95</v>
      </c>
      <c r="E1473">
        <v>60</v>
      </c>
      <c r="F1473">
        <v>35</v>
      </c>
    </row>
    <row r="1474" spans="1:6" x14ac:dyDescent="0.2">
      <c r="A1474">
        <v>20200804</v>
      </c>
      <c r="B1474" t="s">
        <v>20</v>
      </c>
      <c r="C1474" t="s">
        <v>9</v>
      </c>
      <c r="D1474">
        <v>501</v>
      </c>
      <c r="E1474">
        <v>310</v>
      </c>
      <c r="F1474">
        <v>187</v>
      </c>
    </row>
    <row r="1475" spans="1:6" x14ac:dyDescent="0.2">
      <c r="A1475">
        <v>20200804</v>
      </c>
      <c r="B1475" t="s">
        <v>21</v>
      </c>
      <c r="C1475" t="s">
        <v>7</v>
      </c>
      <c r="D1475">
        <v>946</v>
      </c>
      <c r="E1475">
        <v>14</v>
      </c>
      <c r="F1475">
        <v>10</v>
      </c>
    </row>
    <row r="1476" spans="1:6" x14ac:dyDescent="0.2">
      <c r="A1476">
        <v>20200804</v>
      </c>
      <c r="B1476" t="s">
        <v>21</v>
      </c>
      <c r="C1476" t="s">
        <v>9</v>
      </c>
      <c r="D1476">
        <v>1020</v>
      </c>
      <c r="E1476">
        <v>16</v>
      </c>
      <c r="F1476">
        <v>14</v>
      </c>
    </row>
    <row r="1477" spans="1:6" x14ac:dyDescent="0.2">
      <c r="A1477">
        <v>20200804</v>
      </c>
      <c r="B1477" t="s">
        <v>38</v>
      </c>
      <c r="C1477" t="s">
        <v>7</v>
      </c>
      <c r="D1477">
        <v>1791</v>
      </c>
      <c r="E1477">
        <v>1791</v>
      </c>
      <c r="F1477">
        <v>1016</v>
      </c>
    </row>
    <row r="1478" spans="1:6" x14ac:dyDescent="0.2">
      <c r="A1478">
        <v>20200804</v>
      </c>
      <c r="B1478" t="s">
        <v>38</v>
      </c>
      <c r="C1478" t="s">
        <v>9</v>
      </c>
      <c r="D1478">
        <v>1576</v>
      </c>
      <c r="E1478">
        <v>1576</v>
      </c>
      <c r="F1478">
        <v>860</v>
      </c>
    </row>
    <row r="1479" spans="1:6" x14ac:dyDescent="0.2">
      <c r="A1479">
        <v>20200804</v>
      </c>
      <c r="B1479" t="s">
        <v>25</v>
      </c>
      <c r="C1479" t="s">
        <v>9</v>
      </c>
      <c r="D1479">
        <v>795</v>
      </c>
      <c r="E1479">
        <v>795</v>
      </c>
      <c r="F1479">
        <v>597</v>
      </c>
    </row>
    <row r="1480" spans="1:6" x14ac:dyDescent="0.2">
      <c r="A1480">
        <v>20200804</v>
      </c>
      <c r="B1480" t="s">
        <v>72</v>
      </c>
      <c r="C1480" t="s">
        <v>9</v>
      </c>
      <c r="D1480">
        <v>38</v>
      </c>
      <c r="E1480">
        <v>38</v>
      </c>
      <c r="F1480">
        <v>32</v>
      </c>
    </row>
    <row r="1481" spans="1:6" x14ac:dyDescent="0.2">
      <c r="A1481">
        <v>20200804</v>
      </c>
      <c r="B1481" t="s">
        <v>66</v>
      </c>
      <c r="C1481" t="s">
        <v>9</v>
      </c>
      <c r="D1481">
        <v>16</v>
      </c>
      <c r="E1481">
        <v>10</v>
      </c>
      <c r="F1481">
        <v>0</v>
      </c>
    </row>
    <row r="1482" spans="1:6" x14ac:dyDescent="0.2">
      <c r="A1482">
        <v>20200804</v>
      </c>
      <c r="B1482" t="s">
        <v>99</v>
      </c>
      <c r="C1482" t="s">
        <v>9</v>
      </c>
      <c r="D1482">
        <v>54</v>
      </c>
      <c r="E1482">
        <v>54</v>
      </c>
      <c r="F1482">
        <v>36</v>
      </c>
    </row>
    <row r="1483" spans="1:6" x14ac:dyDescent="0.2">
      <c r="A1483">
        <v>20200804</v>
      </c>
      <c r="B1483" t="s">
        <v>108</v>
      </c>
      <c r="C1483" t="s">
        <v>7</v>
      </c>
      <c r="D1483">
        <v>14</v>
      </c>
      <c r="E1483">
        <v>14</v>
      </c>
      <c r="F1483">
        <v>10</v>
      </c>
    </row>
    <row r="1484" spans="1:6" x14ac:dyDescent="0.2">
      <c r="A1484">
        <v>20200804</v>
      </c>
      <c r="B1484" t="s">
        <v>108</v>
      </c>
      <c r="C1484" t="s">
        <v>9</v>
      </c>
      <c r="D1484">
        <v>19</v>
      </c>
      <c r="E1484">
        <v>19</v>
      </c>
      <c r="F1484">
        <v>16</v>
      </c>
    </row>
    <row r="1485" spans="1:6" x14ac:dyDescent="0.2">
      <c r="A1485">
        <v>20200804</v>
      </c>
      <c r="B1485" t="s">
        <v>44</v>
      </c>
      <c r="C1485" t="s">
        <v>9</v>
      </c>
      <c r="D1485">
        <v>1</v>
      </c>
      <c r="E1485">
        <v>1</v>
      </c>
      <c r="F1485">
        <v>0</v>
      </c>
    </row>
    <row r="1486" spans="1:6" x14ac:dyDescent="0.2">
      <c r="A1486">
        <v>20200804</v>
      </c>
      <c r="B1486" t="s">
        <v>97</v>
      </c>
      <c r="C1486" t="s">
        <v>9</v>
      </c>
      <c r="D1486">
        <v>2</v>
      </c>
      <c r="E1486">
        <v>2</v>
      </c>
      <c r="F1486">
        <v>0</v>
      </c>
    </row>
    <row r="1487" spans="1:6" x14ac:dyDescent="0.2">
      <c r="A1487">
        <v>20200804</v>
      </c>
      <c r="B1487" t="s">
        <v>76</v>
      </c>
      <c r="C1487" t="s">
        <v>7</v>
      </c>
      <c r="D1487">
        <v>834</v>
      </c>
      <c r="E1487">
        <v>834</v>
      </c>
      <c r="F1487">
        <v>643</v>
      </c>
    </row>
    <row r="1488" spans="1:6" x14ac:dyDescent="0.2">
      <c r="A1488">
        <v>20200804</v>
      </c>
      <c r="B1488" t="s">
        <v>76</v>
      </c>
      <c r="C1488" t="s">
        <v>9</v>
      </c>
      <c r="D1488">
        <v>760</v>
      </c>
      <c r="E1488">
        <v>760</v>
      </c>
      <c r="F1488">
        <v>585</v>
      </c>
    </row>
    <row r="1489" spans="1:6" x14ac:dyDescent="0.2">
      <c r="A1489">
        <v>20200804</v>
      </c>
      <c r="B1489" t="s">
        <v>62</v>
      </c>
      <c r="C1489" t="s">
        <v>9</v>
      </c>
      <c r="D1489">
        <v>68</v>
      </c>
      <c r="E1489">
        <v>46</v>
      </c>
      <c r="F1489">
        <v>26</v>
      </c>
    </row>
    <row r="1490" spans="1:6" x14ac:dyDescent="0.2">
      <c r="A1490">
        <v>20200804</v>
      </c>
      <c r="B1490" t="s">
        <v>158</v>
      </c>
      <c r="C1490" t="s">
        <v>7</v>
      </c>
      <c r="D1490">
        <v>9</v>
      </c>
      <c r="E1490">
        <v>8</v>
      </c>
      <c r="F1490">
        <v>3</v>
      </c>
    </row>
    <row r="1491" spans="1:6" x14ac:dyDescent="0.2">
      <c r="A1491">
        <v>20200804</v>
      </c>
      <c r="B1491" t="s">
        <v>158</v>
      </c>
      <c r="C1491" t="s">
        <v>9</v>
      </c>
      <c r="D1491">
        <v>59</v>
      </c>
      <c r="E1491">
        <v>38</v>
      </c>
      <c r="F1491">
        <v>5</v>
      </c>
    </row>
    <row r="1492" spans="1:6" x14ac:dyDescent="0.2">
      <c r="A1492">
        <v>20200804</v>
      </c>
      <c r="B1492" t="s">
        <v>118</v>
      </c>
      <c r="C1492" t="s">
        <v>7</v>
      </c>
      <c r="D1492">
        <v>83</v>
      </c>
      <c r="E1492">
        <v>0</v>
      </c>
      <c r="F1492">
        <v>0</v>
      </c>
    </row>
    <row r="1493" spans="1:6" x14ac:dyDescent="0.2">
      <c r="A1493">
        <v>20200804</v>
      </c>
      <c r="B1493" t="s">
        <v>118</v>
      </c>
      <c r="C1493" t="s">
        <v>9</v>
      </c>
      <c r="D1493">
        <v>85</v>
      </c>
      <c r="E1493">
        <v>0</v>
      </c>
      <c r="F1493">
        <v>0</v>
      </c>
    </row>
    <row r="1494" spans="1:6" x14ac:dyDescent="0.2">
      <c r="A1494">
        <v>20200804</v>
      </c>
      <c r="B1494" t="s">
        <v>53</v>
      </c>
      <c r="C1494" t="s">
        <v>9</v>
      </c>
      <c r="D1494">
        <v>82</v>
      </c>
      <c r="E1494">
        <v>82</v>
      </c>
      <c r="F1494">
        <v>60</v>
      </c>
    </row>
    <row r="1495" spans="1:6" x14ac:dyDescent="0.2">
      <c r="A1495">
        <v>20200804</v>
      </c>
      <c r="B1495" t="s">
        <v>95</v>
      </c>
      <c r="C1495" t="s">
        <v>7</v>
      </c>
      <c r="D1495">
        <v>384</v>
      </c>
      <c r="E1495">
        <v>384</v>
      </c>
      <c r="F1495">
        <v>235</v>
      </c>
    </row>
    <row r="1496" spans="1:6" x14ac:dyDescent="0.2">
      <c r="A1496">
        <v>20200804</v>
      </c>
      <c r="B1496" t="s">
        <v>95</v>
      </c>
      <c r="C1496" t="s">
        <v>9</v>
      </c>
      <c r="D1496">
        <v>262</v>
      </c>
      <c r="E1496">
        <v>262</v>
      </c>
      <c r="F1496">
        <v>145</v>
      </c>
    </row>
    <row r="1497" spans="1:6" x14ac:dyDescent="0.2">
      <c r="A1497">
        <v>20200804</v>
      </c>
      <c r="B1497" t="s">
        <v>64</v>
      </c>
      <c r="C1497" t="s">
        <v>9</v>
      </c>
      <c r="D1497">
        <v>1382</v>
      </c>
      <c r="E1497">
        <v>1382</v>
      </c>
      <c r="F1497">
        <v>1055</v>
      </c>
    </row>
    <row r="1498" spans="1:6" x14ac:dyDescent="0.2">
      <c r="A1498">
        <v>20200804</v>
      </c>
      <c r="B1498" t="s">
        <v>68</v>
      </c>
      <c r="C1498" t="s">
        <v>7</v>
      </c>
      <c r="D1498">
        <v>7229</v>
      </c>
      <c r="E1498">
        <v>7229</v>
      </c>
      <c r="F1498">
        <v>5423</v>
      </c>
    </row>
    <row r="1499" spans="1:6" x14ac:dyDescent="0.2">
      <c r="A1499">
        <v>20200804</v>
      </c>
      <c r="B1499" t="s">
        <v>68</v>
      </c>
      <c r="C1499" t="s">
        <v>9</v>
      </c>
      <c r="D1499">
        <v>11657</v>
      </c>
      <c r="E1499">
        <v>11657</v>
      </c>
      <c r="F1499">
        <v>9008</v>
      </c>
    </row>
    <row r="1500" spans="1:6" x14ac:dyDescent="0.2">
      <c r="A1500">
        <v>20200804</v>
      </c>
      <c r="B1500" t="s">
        <v>85</v>
      </c>
      <c r="C1500" t="s">
        <v>9</v>
      </c>
      <c r="D1500">
        <v>1382</v>
      </c>
      <c r="E1500">
        <v>1050</v>
      </c>
      <c r="F1500">
        <v>532</v>
      </c>
    </row>
    <row r="1501" spans="1:6" x14ac:dyDescent="0.2">
      <c r="A1501">
        <v>20200804</v>
      </c>
      <c r="B1501" t="s">
        <v>126</v>
      </c>
      <c r="C1501" t="s">
        <v>9</v>
      </c>
      <c r="D1501">
        <v>2</v>
      </c>
      <c r="E1501">
        <v>2</v>
      </c>
      <c r="F1501">
        <v>0</v>
      </c>
    </row>
    <row r="1502" spans="1:6" x14ac:dyDescent="0.2">
      <c r="A1502">
        <v>20200804</v>
      </c>
      <c r="B1502" t="s">
        <v>65</v>
      </c>
      <c r="C1502" t="s">
        <v>9</v>
      </c>
      <c r="D1502">
        <v>348</v>
      </c>
      <c r="E1502">
        <v>348</v>
      </c>
      <c r="F1502">
        <v>252</v>
      </c>
    </row>
    <row r="1503" spans="1:6" x14ac:dyDescent="0.2">
      <c r="A1503">
        <v>20200804</v>
      </c>
      <c r="B1503" t="s">
        <v>117</v>
      </c>
      <c r="C1503" t="s">
        <v>9</v>
      </c>
      <c r="D1503">
        <v>58</v>
      </c>
      <c r="E1503">
        <v>58</v>
      </c>
      <c r="F1503">
        <v>46</v>
      </c>
    </row>
    <row r="1504" spans="1:6" x14ac:dyDescent="0.2">
      <c r="A1504">
        <v>20200804</v>
      </c>
      <c r="B1504" t="s">
        <v>13</v>
      </c>
      <c r="C1504" t="s">
        <v>7</v>
      </c>
      <c r="D1504">
        <v>195</v>
      </c>
      <c r="E1504">
        <v>195</v>
      </c>
      <c r="F1504">
        <v>131</v>
      </c>
    </row>
    <row r="1505" spans="1:6" x14ac:dyDescent="0.2">
      <c r="A1505">
        <v>20200804</v>
      </c>
      <c r="B1505" t="s">
        <v>13</v>
      </c>
      <c r="C1505" t="s">
        <v>9</v>
      </c>
      <c r="D1505">
        <v>890</v>
      </c>
      <c r="E1505">
        <v>890</v>
      </c>
      <c r="F1505">
        <v>687</v>
      </c>
    </row>
    <row r="1506" spans="1:6" x14ac:dyDescent="0.2">
      <c r="A1506">
        <v>20200804</v>
      </c>
      <c r="B1506" t="s">
        <v>122</v>
      </c>
      <c r="C1506" t="s">
        <v>9</v>
      </c>
      <c r="D1506">
        <v>419</v>
      </c>
      <c r="E1506">
        <v>419</v>
      </c>
      <c r="F1506">
        <v>334</v>
      </c>
    </row>
    <row r="1507" spans="1:6" x14ac:dyDescent="0.2">
      <c r="A1507">
        <v>20200804</v>
      </c>
      <c r="B1507" t="s">
        <v>89</v>
      </c>
      <c r="C1507" t="s">
        <v>9</v>
      </c>
      <c r="D1507">
        <v>1</v>
      </c>
      <c r="E1507">
        <v>1</v>
      </c>
      <c r="F1507">
        <v>0</v>
      </c>
    </row>
    <row r="1508" spans="1:6" x14ac:dyDescent="0.2">
      <c r="A1508">
        <v>20200804</v>
      </c>
      <c r="B1508" t="s">
        <v>32</v>
      </c>
      <c r="C1508" t="s">
        <v>9</v>
      </c>
      <c r="D1508">
        <v>2</v>
      </c>
      <c r="E1508">
        <v>2</v>
      </c>
      <c r="F1508">
        <v>0</v>
      </c>
    </row>
    <row r="1509" spans="1:6" x14ac:dyDescent="0.2">
      <c r="A1509">
        <v>20200804</v>
      </c>
      <c r="B1509" t="s">
        <v>100</v>
      </c>
      <c r="C1509" t="s">
        <v>9</v>
      </c>
      <c r="D1509">
        <v>922</v>
      </c>
      <c r="E1509">
        <v>922</v>
      </c>
      <c r="F1509">
        <v>564</v>
      </c>
    </row>
    <row r="1510" spans="1:6" x14ac:dyDescent="0.2">
      <c r="A1510">
        <v>20200804</v>
      </c>
      <c r="B1510" t="s">
        <v>112</v>
      </c>
      <c r="C1510" t="s">
        <v>9</v>
      </c>
      <c r="D1510">
        <v>3</v>
      </c>
      <c r="E1510">
        <v>2</v>
      </c>
      <c r="F1510">
        <v>0</v>
      </c>
    </row>
    <row r="1511" spans="1:6" x14ac:dyDescent="0.2">
      <c r="A1511">
        <v>20200804</v>
      </c>
      <c r="B1511" t="s">
        <v>26</v>
      </c>
      <c r="C1511" t="s">
        <v>9</v>
      </c>
      <c r="D1511">
        <v>1</v>
      </c>
      <c r="E1511">
        <v>1</v>
      </c>
      <c r="F1511">
        <v>0</v>
      </c>
    </row>
    <row r="1512" spans="1:6" x14ac:dyDescent="0.2">
      <c r="A1512">
        <v>20200804</v>
      </c>
      <c r="B1512" t="s">
        <v>59</v>
      </c>
      <c r="C1512" t="s">
        <v>9</v>
      </c>
      <c r="D1512">
        <v>2</v>
      </c>
      <c r="E1512">
        <v>2</v>
      </c>
      <c r="F1512">
        <v>0</v>
      </c>
    </row>
    <row r="1513" spans="1:6" x14ac:dyDescent="0.2">
      <c r="A1513">
        <v>20200804</v>
      </c>
      <c r="B1513" t="s">
        <v>37</v>
      </c>
      <c r="C1513" t="s">
        <v>7</v>
      </c>
      <c r="D1513">
        <v>2</v>
      </c>
      <c r="E1513">
        <v>2</v>
      </c>
      <c r="F1513">
        <v>0</v>
      </c>
    </row>
    <row r="1514" spans="1:6" x14ac:dyDescent="0.2">
      <c r="A1514">
        <v>20200804</v>
      </c>
      <c r="B1514" t="s">
        <v>37</v>
      </c>
      <c r="C1514" t="s">
        <v>9</v>
      </c>
      <c r="D1514">
        <v>6</v>
      </c>
      <c r="E1514">
        <v>3</v>
      </c>
      <c r="F1514">
        <v>0</v>
      </c>
    </row>
    <row r="1515" spans="1:6" x14ac:dyDescent="0.2">
      <c r="A1515">
        <v>20200804</v>
      </c>
      <c r="B1515" t="s">
        <v>29</v>
      </c>
      <c r="C1515" t="s">
        <v>9</v>
      </c>
      <c r="D1515">
        <v>19</v>
      </c>
      <c r="E1515">
        <v>11</v>
      </c>
      <c r="F1515">
        <v>3</v>
      </c>
    </row>
    <row r="1516" spans="1:6" x14ac:dyDescent="0.2">
      <c r="A1516">
        <v>20200804</v>
      </c>
      <c r="B1516" t="s">
        <v>105</v>
      </c>
      <c r="C1516" t="s">
        <v>7</v>
      </c>
      <c r="D1516">
        <v>525</v>
      </c>
      <c r="E1516">
        <v>1</v>
      </c>
      <c r="F1516">
        <v>0</v>
      </c>
    </row>
    <row r="1517" spans="1:6" x14ac:dyDescent="0.2">
      <c r="A1517">
        <v>20200804</v>
      </c>
      <c r="B1517" t="s">
        <v>105</v>
      </c>
      <c r="C1517" t="s">
        <v>9</v>
      </c>
      <c r="D1517">
        <v>477</v>
      </c>
      <c r="E1517">
        <v>0</v>
      </c>
      <c r="F1517">
        <v>0</v>
      </c>
    </row>
    <row r="1518" spans="1:6" x14ac:dyDescent="0.2">
      <c r="A1518">
        <v>20200804</v>
      </c>
      <c r="B1518" t="s">
        <v>106</v>
      </c>
      <c r="C1518" t="s">
        <v>7</v>
      </c>
      <c r="D1518">
        <v>6</v>
      </c>
      <c r="E1518">
        <v>0</v>
      </c>
      <c r="F1518">
        <v>0</v>
      </c>
    </row>
    <row r="1519" spans="1:6" x14ac:dyDescent="0.2">
      <c r="A1519">
        <v>20200804</v>
      </c>
      <c r="B1519" t="s">
        <v>106</v>
      </c>
      <c r="C1519" t="s">
        <v>9</v>
      </c>
      <c r="D1519">
        <v>8</v>
      </c>
      <c r="E1519">
        <v>0</v>
      </c>
      <c r="F1519">
        <v>0</v>
      </c>
    </row>
    <row r="1520" spans="1:6" x14ac:dyDescent="0.2">
      <c r="A1520">
        <v>20200804</v>
      </c>
      <c r="B1520" t="s">
        <v>75</v>
      </c>
      <c r="C1520" t="s">
        <v>9</v>
      </c>
      <c r="D1520">
        <v>218</v>
      </c>
      <c r="E1520">
        <v>218</v>
      </c>
      <c r="F1520">
        <v>140</v>
      </c>
    </row>
    <row r="1521" spans="1:6" x14ac:dyDescent="0.2">
      <c r="A1521">
        <v>20200804</v>
      </c>
      <c r="B1521" t="s">
        <v>148</v>
      </c>
      <c r="C1521" t="s">
        <v>7</v>
      </c>
      <c r="D1521">
        <v>2</v>
      </c>
      <c r="E1521">
        <v>1</v>
      </c>
      <c r="F1521">
        <v>1</v>
      </c>
    </row>
    <row r="1522" spans="1:6" x14ac:dyDescent="0.2">
      <c r="A1522">
        <v>20200804</v>
      </c>
      <c r="B1522" t="s">
        <v>148</v>
      </c>
      <c r="C1522" t="s">
        <v>9</v>
      </c>
      <c r="D1522">
        <v>11</v>
      </c>
      <c r="E1522">
        <v>8</v>
      </c>
      <c r="F1522">
        <v>4</v>
      </c>
    </row>
    <row r="1523" spans="1:6" x14ac:dyDescent="0.2">
      <c r="A1523">
        <v>20200804</v>
      </c>
      <c r="B1523" t="s">
        <v>137</v>
      </c>
      <c r="C1523" t="s">
        <v>9</v>
      </c>
      <c r="D1523">
        <v>1</v>
      </c>
      <c r="E1523">
        <v>1</v>
      </c>
      <c r="F1523">
        <v>0</v>
      </c>
    </row>
    <row r="1524" spans="1:6" x14ac:dyDescent="0.2">
      <c r="A1524">
        <v>20200804</v>
      </c>
      <c r="B1524" t="s">
        <v>8</v>
      </c>
      <c r="C1524" t="s">
        <v>9</v>
      </c>
      <c r="D1524">
        <v>1</v>
      </c>
      <c r="E1524">
        <v>1</v>
      </c>
      <c r="F1524">
        <v>0</v>
      </c>
    </row>
    <row r="1525" spans="1:6" x14ac:dyDescent="0.2">
      <c r="A1525">
        <v>20200804</v>
      </c>
      <c r="B1525" t="s">
        <v>103</v>
      </c>
      <c r="C1525" t="s">
        <v>9</v>
      </c>
      <c r="D1525">
        <v>40</v>
      </c>
      <c r="E1525">
        <v>40</v>
      </c>
      <c r="F1525">
        <v>25</v>
      </c>
    </row>
    <row r="1526" spans="1:6" x14ac:dyDescent="0.2">
      <c r="A1526">
        <v>20200804</v>
      </c>
      <c r="B1526" t="s">
        <v>109</v>
      </c>
      <c r="C1526" t="s">
        <v>9</v>
      </c>
      <c r="D1526">
        <v>1</v>
      </c>
      <c r="E1526">
        <v>1</v>
      </c>
      <c r="F1526">
        <v>0</v>
      </c>
    </row>
    <row r="1527" spans="1:6" x14ac:dyDescent="0.2">
      <c r="A1527">
        <v>20200804</v>
      </c>
      <c r="B1527" t="s">
        <v>159</v>
      </c>
      <c r="C1527" t="s">
        <v>7</v>
      </c>
      <c r="D1527">
        <v>732</v>
      </c>
      <c r="E1527">
        <v>456</v>
      </c>
      <c r="F1527">
        <v>166</v>
      </c>
    </row>
    <row r="1528" spans="1:6" x14ac:dyDescent="0.2">
      <c r="A1528">
        <v>20200804</v>
      </c>
      <c r="B1528" t="s">
        <v>159</v>
      </c>
      <c r="C1528" t="s">
        <v>9</v>
      </c>
      <c r="D1528">
        <v>1184</v>
      </c>
      <c r="E1528">
        <v>872</v>
      </c>
      <c r="F1528">
        <v>352</v>
      </c>
    </row>
    <row r="1529" spans="1:6" x14ac:dyDescent="0.2">
      <c r="A1529">
        <v>20200804</v>
      </c>
      <c r="B1529" t="s">
        <v>135</v>
      </c>
      <c r="C1529" t="s">
        <v>9</v>
      </c>
      <c r="D1529">
        <v>1</v>
      </c>
      <c r="E1529">
        <v>1</v>
      </c>
      <c r="F1529">
        <v>0</v>
      </c>
    </row>
    <row r="1530" spans="1:6" x14ac:dyDescent="0.2">
      <c r="A1530">
        <v>20200804</v>
      </c>
      <c r="B1530" t="s">
        <v>60</v>
      </c>
      <c r="C1530" t="s">
        <v>9</v>
      </c>
      <c r="D1530">
        <v>2</v>
      </c>
      <c r="E1530">
        <v>2</v>
      </c>
      <c r="F1530">
        <v>0</v>
      </c>
    </row>
    <row r="1531" spans="1:6" x14ac:dyDescent="0.2">
      <c r="A1531">
        <v>20200804</v>
      </c>
      <c r="B1531" t="s">
        <v>78</v>
      </c>
      <c r="C1531" t="s">
        <v>7</v>
      </c>
      <c r="D1531">
        <v>39</v>
      </c>
      <c r="E1531">
        <v>39</v>
      </c>
      <c r="F1531">
        <v>19</v>
      </c>
    </row>
    <row r="1532" spans="1:6" x14ac:dyDescent="0.2">
      <c r="A1532">
        <v>20200804</v>
      </c>
      <c r="B1532" t="s">
        <v>78</v>
      </c>
      <c r="C1532" t="s">
        <v>9</v>
      </c>
      <c r="D1532">
        <v>132</v>
      </c>
      <c r="E1532">
        <v>132</v>
      </c>
      <c r="F1532">
        <v>79</v>
      </c>
    </row>
    <row r="1533" spans="1:6" x14ac:dyDescent="0.2">
      <c r="A1533">
        <v>20200804</v>
      </c>
      <c r="B1533" t="s">
        <v>83</v>
      </c>
      <c r="C1533" t="s">
        <v>9</v>
      </c>
      <c r="D1533">
        <v>348</v>
      </c>
      <c r="E1533">
        <v>348</v>
      </c>
      <c r="F1533">
        <v>182</v>
      </c>
    </row>
    <row r="1534" spans="1:6" x14ac:dyDescent="0.2">
      <c r="A1534">
        <v>20200804</v>
      </c>
      <c r="B1534" t="s">
        <v>42</v>
      </c>
      <c r="C1534" t="s">
        <v>9</v>
      </c>
      <c r="D1534">
        <v>1</v>
      </c>
      <c r="E1534">
        <v>1</v>
      </c>
      <c r="F1534">
        <v>0</v>
      </c>
    </row>
    <row r="1535" spans="1:6" x14ac:dyDescent="0.2">
      <c r="A1535">
        <v>20200804</v>
      </c>
      <c r="B1535" t="s">
        <v>125</v>
      </c>
      <c r="C1535" t="s">
        <v>9</v>
      </c>
      <c r="D1535">
        <v>175</v>
      </c>
      <c r="E1535">
        <v>175</v>
      </c>
      <c r="F1535">
        <v>131</v>
      </c>
    </row>
    <row r="1536" spans="1:6" x14ac:dyDescent="0.2">
      <c r="A1536">
        <v>20200804</v>
      </c>
      <c r="B1536" t="s">
        <v>81</v>
      </c>
      <c r="C1536" t="s">
        <v>7</v>
      </c>
      <c r="D1536">
        <v>581</v>
      </c>
      <c r="E1536">
        <v>2</v>
      </c>
      <c r="F1536">
        <v>0</v>
      </c>
    </row>
    <row r="1537" spans="1:6" x14ac:dyDescent="0.2">
      <c r="A1537">
        <v>20200804</v>
      </c>
      <c r="B1537" t="s">
        <v>81</v>
      </c>
      <c r="C1537" t="s">
        <v>9</v>
      </c>
      <c r="D1537">
        <v>610</v>
      </c>
      <c r="E1537">
        <v>0</v>
      </c>
      <c r="F1537">
        <v>0</v>
      </c>
    </row>
    <row r="1538" spans="1:6" x14ac:dyDescent="0.2">
      <c r="A1538">
        <v>20200804</v>
      </c>
      <c r="B1538" t="s">
        <v>107</v>
      </c>
      <c r="C1538" t="s">
        <v>7</v>
      </c>
      <c r="D1538">
        <v>190</v>
      </c>
      <c r="E1538">
        <v>190</v>
      </c>
      <c r="F1538">
        <v>83</v>
      </c>
    </row>
    <row r="1539" spans="1:6" x14ac:dyDescent="0.2">
      <c r="A1539">
        <v>20200804</v>
      </c>
      <c r="B1539" t="s">
        <v>107</v>
      </c>
      <c r="C1539" t="s">
        <v>9</v>
      </c>
      <c r="D1539">
        <v>62</v>
      </c>
      <c r="E1539">
        <v>62</v>
      </c>
      <c r="F1539">
        <v>33</v>
      </c>
    </row>
    <row r="1540" spans="1:6" x14ac:dyDescent="0.2">
      <c r="A1540">
        <v>20200804</v>
      </c>
      <c r="B1540" t="s">
        <v>48</v>
      </c>
      <c r="C1540" t="s">
        <v>9</v>
      </c>
      <c r="D1540">
        <v>356</v>
      </c>
      <c r="E1540">
        <v>356</v>
      </c>
      <c r="F1540">
        <v>210</v>
      </c>
    </row>
    <row r="1541" spans="1:6" x14ac:dyDescent="0.2">
      <c r="A1541">
        <v>20200804</v>
      </c>
      <c r="B1541" t="s">
        <v>93</v>
      </c>
      <c r="C1541" t="s">
        <v>7</v>
      </c>
      <c r="D1541">
        <v>1157</v>
      </c>
      <c r="E1541">
        <v>1157</v>
      </c>
      <c r="F1541">
        <v>882</v>
      </c>
    </row>
    <row r="1542" spans="1:6" x14ac:dyDescent="0.2">
      <c r="A1542">
        <v>20200804</v>
      </c>
      <c r="B1542" t="s">
        <v>93</v>
      </c>
      <c r="C1542" t="s">
        <v>9</v>
      </c>
      <c r="D1542">
        <v>974</v>
      </c>
      <c r="E1542">
        <v>974</v>
      </c>
      <c r="F1542">
        <v>762</v>
      </c>
    </row>
    <row r="1543" spans="1:6" x14ac:dyDescent="0.2">
      <c r="A1543">
        <v>20200804</v>
      </c>
      <c r="B1543" t="s">
        <v>30</v>
      </c>
      <c r="C1543" t="s">
        <v>9</v>
      </c>
      <c r="D1543">
        <v>73</v>
      </c>
      <c r="E1543">
        <v>73</v>
      </c>
      <c r="F1543">
        <v>48</v>
      </c>
    </row>
    <row r="1544" spans="1:6" x14ac:dyDescent="0.2">
      <c r="A1544">
        <v>20200804</v>
      </c>
      <c r="B1544" t="s">
        <v>67</v>
      </c>
      <c r="C1544" t="s">
        <v>9</v>
      </c>
      <c r="D1544">
        <v>1</v>
      </c>
      <c r="E1544">
        <v>1</v>
      </c>
      <c r="F1544">
        <v>0</v>
      </c>
    </row>
    <row r="1545" spans="1:6" x14ac:dyDescent="0.2">
      <c r="A1545">
        <v>20200804</v>
      </c>
      <c r="B1545" t="s">
        <v>22</v>
      </c>
      <c r="C1545" t="s">
        <v>7</v>
      </c>
      <c r="D1545">
        <v>2834</v>
      </c>
      <c r="E1545">
        <v>2834</v>
      </c>
      <c r="F1545">
        <v>2115</v>
      </c>
    </row>
    <row r="1546" spans="1:6" x14ac:dyDescent="0.2">
      <c r="A1546">
        <v>20200804</v>
      </c>
      <c r="B1546" t="s">
        <v>22</v>
      </c>
      <c r="C1546" t="s">
        <v>9</v>
      </c>
      <c r="D1546">
        <v>2750</v>
      </c>
      <c r="E1546">
        <v>2750</v>
      </c>
      <c r="F1546">
        <v>2135</v>
      </c>
    </row>
    <row r="1547" spans="1:6" x14ac:dyDescent="0.2">
      <c r="A1547">
        <v>20200804</v>
      </c>
      <c r="B1547" t="s">
        <v>55</v>
      </c>
      <c r="C1547" t="s">
        <v>9</v>
      </c>
      <c r="D1547">
        <v>1186</v>
      </c>
      <c r="E1547">
        <v>1186</v>
      </c>
      <c r="F1547">
        <v>889</v>
      </c>
    </row>
    <row r="1548" spans="1:6" x14ac:dyDescent="0.2">
      <c r="A1548">
        <v>20200804</v>
      </c>
      <c r="B1548" t="s">
        <v>10</v>
      </c>
      <c r="C1548" t="s">
        <v>9</v>
      </c>
      <c r="D1548">
        <v>2</v>
      </c>
      <c r="E1548">
        <v>2</v>
      </c>
      <c r="F1548">
        <v>0</v>
      </c>
    </row>
    <row r="1549" spans="1:6" x14ac:dyDescent="0.2">
      <c r="A1549">
        <v>20200804</v>
      </c>
      <c r="B1549" t="s">
        <v>111</v>
      </c>
      <c r="C1549" t="s">
        <v>9</v>
      </c>
      <c r="D1549">
        <v>898</v>
      </c>
      <c r="E1549">
        <v>898</v>
      </c>
      <c r="F1549">
        <v>587</v>
      </c>
    </row>
    <row r="1550" spans="1:6" x14ac:dyDescent="0.2">
      <c r="A1550">
        <v>20200804</v>
      </c>
      <c r="B1550" t="s">
        <v>110</v>
      </c>
      <c r="C1550" t="s">
        <v>7</v>
      </c>
      <c r="D1550">
        <v>74</v>
      </c>
      <c r="E1550">
        <v>63</v>
      </c>
      <c r="F1550">
        <v>35</v>
      </c>
    </row>
    <row r="1551" spans="1:6" x14ac:dyDescent="0.2">
      <c r="A1551">
        <v>20200804</v>
      </c>
      <c r="B1551" t="s">
        <v>110</v>
      </c>
      <c r="C1551" t="s">
        <v>9</v>
      </c>
      <c r="D1551">
        <v>34</v>
      </c>
      <c r="E1551">
        <v>27</v>
      </c>
      <c r="F1551">
        <v>16</v>
      </c>
    </row>
    <row r="1552" spans="1:6" x14ac:dyDescent="0.2">
      <c r="A1552">
        <v>20200804</v>
      </c>
      <c r="C1552" t="s">
        <v>7</v>
      </c>
      <c r="D1552">
        <v>13491</v>
      </c>
      <c r="E1552">
        <v>0</v>
      </c>
      <c r="F1552">
        <v>0</v>
      </c>
    </row>
    <row r="1553" spans="1:6" x14ac:dyDescent="0.2">
      <c r="A1553">
        <v>20200804</v>
      </c>
      <c r="C1553" t="s">
        <v>9</v>
      </c>
      <c r="D1553">
        <v>13392</v>
      </c>
      <c r="E1553">
        <v>0</v>
      </c>
      <c r="F1553">
        <v>0</v>
      </c>
    </row>
    <row r="1554" spans="1:6" x14ac:dyDescent="0.2">
      <c r="A1554">
        <v>20200805</v>
      </c>
      <c r="B1554" t="s">
        <v>82</v>
      </c>
      <c r="C1554" t="s">
        <v>7</v>
      </c>
      <c r="D1554">
        <v>4881</v>
      </c>
      <c r="E1554">
        <v>4881</v>
      </c>
      <c r="F1554">
        <v>2852</v>
      </c>
    </row>
    <row r="1555" spans="1:6" x14ac:dyDescent="0.2">
      <c r="A1555">
        <v>20200805</v>
      </c>
      <c r="B1555" t="s">
        <v>82</v>
      </c>
      <c r="C1555" t="s">
        <v>9</v>
      </c>
      <c r="D1555">
        <v>1402</v>
      </c>
      <c r="E1555">
        <v>1402</v>
      </c>
      <c r="F1555">
        <v>890</v>
      </c>
    </row>
    <row r="1556" spans="1:6" x14ac:dyDescent="0.2">
      <c r="A1556">
        <v>20200805</v>
      </c>
      <c r="B1556" t="s">
        <v>34</v>
      </c>
      <c r="C1556" t="s">
        <v>7</v>
      </c>
      <c r="D1556">
        <v>615</v>
      </c>
      <c r="E1556">
        <v>446</v>
      </c>
      <c r="F1556">
        <v>221</v>
      </c>
    </row>
    <row r="1557" spans="1:6" x14ac:dyDescent="0.2">
      <c r="A1557">
        <v>20200805</v>
      </c>
      <c r="B1557" t="s">
        <v>34</v>
      </c>
      <c r="C1557" t="s">
        <v>9</v>
      </c>
      <c r="D1557">
        <v>233</v>
      </c>
      <c r="E1557">
        <v>164</v>
      </c>
      <c r="F1557">
        <v>74</v>
      </c>
    </row>
    <row r="1558" spans="1:6" x14ac:dyDescent="0.2">
      <c r="A1558">
        <v>20200805</v>
      </c>
      <c r="B1558" t="s">
        <v>40</v>
      </c>
      <c r="C1558" t="s">
        <v>7</v>
      </c>
      <c r="D1558">
        <v>1</v>
      </c>
      <c r="E1558">
        <v>0</v>
      </c>
      <c r="F1558">
        <v>0</v>
      </c>
    </row>
    <row r="1559" spans="1:6" x14ac:dyDescent="0.2">
      <c r="A1559">
        <v>20200805</v>
      </c>
      <c r="B1559" t="s">
        <v>40</v>
      </c>
      <c r="C1559" t="s">
        <v>9</v>
      </c>
      <c r="D1559">
        <v>227</v>
      </c>
      <c r="E1559">
        <v>163</v>
      </c>
      <c r="F1559">
        <v>17</v>
      </c>
    </row>
    <row r="1560" spans="1:6" x14ac:dyDescent="0.2">
      <c r="A1560">
        <v>20200805</v>
      </c>
      <c r="B1560" t="s">
        <v>94</v>
      </c>
      <c r="C1560" t="s">
        <v>9</v>
      </c>
      <c r="D1560">
        <v>215</v>
      </c>
      <c r="E1560">
        <v>215</v>
      </c>
      <c r="F1560">
        <v>144</v>
      </c>
    </row>
    <row r="1561" spans="1:6" x14ac:dyDescent="0.2">
      <c r="A1561">
        <v>20200805</v>
      </c>
      <c r="B1561" t="s">
        <v>45</v>
      </c>
      <c r="C1561" t="s">
        <v>7</v>
      </c>
      <c r="D1561">
        <v>1932</v>
      </c>
      <c r="E1561">
        <v>4</v>
      </c>
      <c r="F1561">
        <v>1</v>
      </c>
    </row>
    <row r="1562" spans="1:6" x14ac:dyDescent="0.2">
      <c r="A1562">
        <v>20200805</v>
      </c>
      <c r="B1562" t="s">
        <v>45</v>
      </c>
      <c r="C1562" t="s">
        <v>9</v>
      </c>
      <c r="D1562">
        <v>1900</v>
      </c>
      <c r="E1562">
        <v>4</v>
      </c>
      <c r="F1562">
        <v>3</v>
      </c>
    </row>
    <row r="1563" spans="1:6" x14ac:dyDescent="0.2">
      <c r="A1563">
        <v>20200805</v>
      </c>
      <c r="B1563" t="s">
        <v>69</v>
      </c>
      <c r="C1563" t="s">
        <v>7</v>
      </c>
      <c r="D1563">
        <v>704</v>
      </c>
      <c r="E1563">
        <v>0</v>
      </c>
      <c r="F1563">
        <v>0</v>
      </c>
    </row>
    <row r="1564" spans="1:6" x14ac:dyDescent="0.2">
      <c r="A1564">
        <v>20200805</v>
      </c>
      <c r="B1564" t="s">
        <v>69</v>
      </c>
      <c r="C1564" t="s">
        <v>9</v>
      </c>
      <c r="D1564">
        <v>729</v>
      </c>
      <c r="E1564">
        <v>2</v>
      </c>
      <c r="F1564">
        <v>0</v>
      </c>
    </row>
    <row r="1565" spans="1:6" x14ac:dyDescent="0.2">
      <c r="A1565">
        <v>20200805</v>
      </c>
      <c r="B1565" t="s">
        <v>123</v>
      </c>
      <c r="C1565" t="s">
        <v>7</v>
      </c>
      <c r="D1565">
        <v>1546</v>
      </c>
      <c r="E1565">
        <v>5</v>
      </c>
      <c r="F1565">
        <v>3</v>
      </c>
    </row>
    <row r="1566" spans="1:6" x14ac:dyDescent="0.2">
      <c r="A1566">
        <v>20200805</v>
      </c>
      <c r="B1566" t="s">
        <v>123</v>
      </c>
      <c r="C1566" t="s">
        <v>9</v>
      </c>
      <c r="D1566">
        <v>1688</v>
      </c>
      <c r="E1566">
        <v>12</v>
      </c>
      <c r="F1566">
        <v>6</v>
      </c>
    </row>
    <row r="1567" spans="1:6" x14ac:dyDescent="0.2">
      <c r="A1567">
        <v>20200805</v>
      </c>
      <c r="B1567" t="s">
        <v>101</v>
      </c>
      <c r="C1567" t="s">
        <v>7</v>
      </c>
      <c r="D1567">
        <v>1805</v>
      </c>
      <c r="E1567">
        <v>4</v>
      </c>
      <c r="F1567">
        <v>3</v>
      </c>
    </row>
    <row r="1568" spans="1:6" x14ac:dyDescent="0.2">
      <c r="A1568">
        <v>20200805</v>
      </c>
      <c r="B1568" t="s">
        <v>101</v>
      </c>
      <c r="C1568" t="s">
        <v>9</v>
      </c>
      <c r="D1568">
        <v>1919</v>
      </c>
      <c r="E1568">
        <v>2</v>
      </c>
      <c r="F1568">
        <v>2</v>
      </c>
    </row>
    <row r="1569" spans="1:6" x14ac:dyDescent="0.2">
      <c r="A1569">
        <v>20200805</v>
      </c>
      <c r="B1569" t="s">
        <v>11</v>
      </c>
      <c r="C1569" t="s">
        <v>7</v>
      </c>
      <c r="D1569">
        <v>13022</v>
      </c>
      <c r="E1569">
        <v>1</v>
      </c>
      <c r="F1569">
        <v>0</v>
      </c>
    </row>
    <row r="1570" spans="1:6" x14ac:dyDescent="0.2">
      <c r="A1570">
        <v>20200805</v>
      </c>
      <c r="B1570" t="s">
        <v>11</v>
      </c>
      <c r="C1570" t="s">
        <v>9</v>
      </c>
      <c r="D1570">
        <v>13100</v>
      </c>
      <c r="E1570">
        <v>1</v>
      </c>
      <c r="F1570">
        <v>0</v>
      </c>
    </row>
    <row r="1571" spans="1:6" x14ac:dyDescent="0.2">
      <c r="A1571">
        <v>20200805</v>
      </c>
      <c r="B1571" t="s">
        <v>16</v>
      </c>
      <c r="C1571" t="s">
        <v>7</v>
      </c>
      <c r="D1571">
        <v>401</v>
      </c>
      <c r="E1571">
        <v>401</v>
      </c>
      <c r="F1571">
        <v>241</v>
      </c>
    </row>
    <row r="1572" spans="1:6" x14ac:dyDescent="0.2">
      <c r="A1572">
        <v>20200805</v>
      </c>
      <c r="B1572" t="s">
        <v>16</v>
      </c>
      <c r="C1572" t="s">
        <v>9</v>
      </c>
      <c r="D1572">
        <v>324</v>
      </c>
      <c r="E1572">
        <v>324</v>
      </c>
      <c r="F1572">
        <v>211</v>
      </c>
    </row>
    <row r="1573" spans="1:6" x14ac:dyDescent="0.2">
      <c r="A1573">
        <v>20200805</v>
      </c>
      <c r="B1573" t="s">
        <v>120</v>
      </c>
      <c r="C1573" t="s">
        <v>9</v>
      </c>
      <c r="D1573">
        <v>1</v>
      </c>
      <c r="E1573">
        <v>1</v>
      </c>
      <c r="F1573">
        <v>0</v>
      </c>
    </row>
    <row r="1574" spans="1:6" x14ac:dyDescent="0.2">
      <c r="A1574">
        <v>20200805</v>
      </c>
      <c r="B1574" t="s">
        <v>41</v>
      </c>
      <c r="C1574" t="s">
        <v>7</v>
      </c>
      <c r="D1574">
        <v>2234</v>
      </c>
      <c r="E1574">
        <v>605</v>
      </c>
      <c r="F1574">
        <v>250</v>
      </c>
    </row>
    <row r="1575" spans="1:6" x14ac:dyDescent="0.2">
      <c r="A1575">
        <v>20200805</v>
      </c>
      <c r="B1575" t="s">
        <v>41</v>
      </c>
      <c r="C1575" t="s">
        <v>9</v>
      </c>
      <c r="D1575">
        <v>2904</v>
      </c>
      <c r="E1575">
        <v>1220</v>
      </c>
      <c r="F1575">
        <v>633</v>
      </c>
    </row>
    <row r="1576" spans="1:6" x14ac:dyDescent="0.2">
      <c r="A1576">
        <v>20200805</v>
      </c>
      <c r="B1576" t="s">
        <v>119</v>
      </c>
      <c r="C1576" t="s">
        <v>7</v>
      </c>
      <c r="D1576">
        <v>1131</v>
      </c>
      <c r="E1576">
        <v>1131</v>
      </c>
      <c r="F1576">
        <v>554</v>
      </c>
    </row>
    <row r="1577" spans="1:6" x14ac:dyDescent="0.2">
      <c r="A1577">
        <v>20200805</v>
      </c>
      <c r="B1577" t="s">
        <v>119</v>
      </c>
      <c r="C1577" t="s">
        <v>9</v>
      </c>
      <c r="D1577">
        <v>2167</v>
      </c>
      <c r="E1577">
        <v>2167</v>
      </c>
      <c r="F1577">
        <v>1057</v>
      </c>
    </row>
    <row r="1578" spans="1:6" x14ac:dyDescent="0.2">
      <c r="A1578">
        <v>20200805</v>
      </c>
      <c r="B1578" t="s">
        <v>51</v>
      </c>
      <c r="C1578" t="s">
        <v>7</v>
      </c>
      <c r="D1578">
        <v>276</v>
      </c>
      <c r="E1578">
        <v>276</v>
      </c>
      <c r="F1578">
        <v>138</v>
      </c>
    </row>
    <row r="1579" spans="1:6" x14ac:dyDescent="0.2">
      <c r="A1579">
        <v>20200805</v>
      </c>
      <c r="B1579" t="s">
        <v>51</v>
      </c>
      <c r="C1579" t="s">
        <v>9</v>
      </c>
      <c r="D1579">
        <v>86</v>
      </c>
      <c r="E1579">
        <v>86</v>
      </c>
      <c r="F1579">
        <v>47</v>
      </c>
    </row>
    <row r="1580" spans="1:6" x14ac:dyDescent="0.2">
      <c r="A1580">
        <v>20200805</v>
      </c>
      <c r="B1580" t="s">
        <v>36</v>
      </c>
      <c r="C1580" t="s">
        <v>9</v>
      </c>
      <c r="D1580">
        <v>431</v>
      </c>
      <c r="E1580">
        <v>313</v>
      </c>
      <c r="F1580">
        <v>86</v>
      </c>
    </row>
    <row r="1581" spans="1:6" x14ac:dyDescent="0.2">
      <c r="A1581">
        <v>20200805</v>
      </c>
      <c r="B1581" t="s">
        <v>27</v>
      </c>
      <c r="C1581" t="s">
        <v>9</v>
      </c>
      <c r="D1581">
        <v>57</v>
      </c>
      <c r="E1581">
        <v>57</v>
      </c>
      <c r="F1581">
        <v>36</v>
      </c>
    </row>
    <row r="1582" spans="1:6" x14ac:dyDescent="0.2">
      <c r="A1582">
        <v>20200805</v>
      </c>
      <c r="B1582" t="s">
        <v>35</v>
      </c>
      <c r="C1582" t="s">
        <v>9</v>
      </c>
      <c r="D1582">
        <v>125</v>
      </c>
      <c r="E1582">
        <v>125</v>
      </c>
      <c r="F1582">
        <v>61</v>
      </c>
    </row>
    <row r="1583" spans="1:6" x14ac:dyDescent="0.2">
      <c r="A1583">
        <v>20200805</v>
      </c>
      <c r="B1583" t="s">
        <v>84</v>
      </c>
      <c r="C1583" t="s">
        <v>9</v>
      </c>
      <c r="D1583">
        <v>258</v>
      </c>
      <c r="E1583">
        <v>258</v>
      </c>
      <c r="F1583">
        <v>182</v>
      </c>
    </row>
    <row r="1584" spans="1:6" x14ac:dyDescent="0.2">
      <c r="A1584">
        <v>20200805</v>
      </c>
      <c r="B1584" t="s">
        <v>61</v>
      </c>
      <c r="C1584" t="s">
        <v>9</v>
      </c>
      <c r="D1584">
        <v>2</v>
      </c>
      <c r="E1584">
        <v>2</v>
      </c>
      <c r="F1584">
        <v>0</v>
      </c>
    </row>
    <row r="1585" spans="1:6" x14ac:dyDescent="0.2">
      <c r="A1585">
        <v>20200805</v>
      </c>
      <c r="B1585" t="s">
        <v>20</v>
      </c>
      <c r="C1585" t="s">
        <v>7</v>
      </c>
      <c r="D1585">
        <v>11</v>
      </c>
      <c r="E1585">
        <v>6</v>
      </c>
      <c r="F1585">
        <v>2</v>
      </c>
    </row>
    <row r="1586" spans="1:6" x14ac:dyDescent="0.2">
      <c r="A1586">
        <v>20200805</v>
      </c>
      <c r="B1586" t="s">
        <v>20</v>
      </c>
      <c r="C1586" t="s">
        <v>9</v>
      </c>
      <c r="D1586">
        <v>451</v>
      </c>
      <c r="E1586">
        <v>290</v>
      </c>
      <c r="F1586">
        <v>191</v>
      </c>
    </row>
    <row r="1587" spans="1:6" x14ac:dyDescent="0.2">
      <c r="A1587">
        <v>20200805</v>
      </c>
      <c r="B1587" t="s">
        <v>38</v>
      </c>
      <c r="C1587" t="s">
        <v>7</v>
      </c>
      <c r="D1587">
        <v>1407</v>
      </c>
      <c r="E1587">
        <v>1407</v>
      </c>
      <c r="F1587">
        <v>781</v>
      </c>
    </row>
    <row r="1588" spans="1:6" x14ac:dyDescent="0.2">
      <c r="A1588">
        <v>20200805</v>
      </c>
      <c r="B1588" t="s">
        <v>38</v>
      </c>
      <c r="C1588" t="s">
        <v>9</v>
      </c>
      <c r="D1588">
        <v>999</v>
      </c>
      <c r="E1588">
        <v>999</v>
      </c>
      <c r="F1588">
        <v>551</v>
      </c>
    </row>
    <row r="1589" spans="1:6" x14ac:dyDescent="0.2">
      <c r="A1589">
        <v>20200805</v>
      </c>
      <c r="B1589" t="s">
        <v>25</v>
      </c>
      <c r="C1589" t="s">
        <v>9</v>
      </c>
      <c r="D1589">
        <v>2</v>
      </c>
      <c r="E1589">
        <v>2</v>
      </c>
      <c r="F1589">
        <v>2</v>
      </c>
    </row>
    <row r="1590" spans="1:6" x14ac:dyDescent="0.2">
      <c r="A1590">
        <v>20200805</v>
      </c>
      <c r="B1590" t="s">
        <v>72</v>
      </c>
      <c r="C1590" t="s">
        <v>9</v>
      </c>
      <c r="D1590">
        <v>20</v>
      </c>
      <c r="E1590">
        <v>20</v>
      </c>
      <c r="F1590">
        <v>18</v>
      </c>
    </row>
    <row r="1591" spans="1:6" x14ac:dyDescent="0.2">
      <c r="A1591">
        <v>20200805</v>
      </c>
      <c r="B1591" t="s">
        <v>39</v>
      </c>
      <c r="C1591" t="s">
        <v>7</v>
      </c>
      <c r="D1591">
        <v>5878</v>
      </c>
      <c r="E1591">
        <v>5878</v>
      </c>
      <c r="F1591">
        <v>3975</v>
      </c>
    </row>
    <row r="1592" spans="1:6" x14ac:dyDescent="0.2">
      <c r="A1592">
        <v>20200805</v>
      </c>
      <c r="B1592" t="s">
        <v>39</v>
      </c>
      <c r="C1592" t="s">
        <v>9</v>
      </c>
      <c r="D1592">
        <v>5011</v>
      </c>
      <c r="E1592">
        <v>5011</v>
      </c>
      <c r="F1592">
        <v>3347</v>
      </c>
    </row>
    <row r="1593" spans="1:6" x14ac:dyDescent="0.2">
      <c r="A1593">
        <v>20200805</v>
      </c>
      <c r="B1593" t="s">
        <v>66</v>
      </c>
      <c r="C1593" t="s">
        <v>9</v>
      </c>
      <c r="D1593">
        <v>18</v>
      </c>
      <c r="E1593">
        <v>13</v>
      </c>
      <c r="F1593">
        <v>10</v>
      </c>
    </row>
    <row r="1594" spans="1:6" x14ac:dyDescent="0.2">
      <c r="A1594">
        <v>20200805</v>
      </c>
      <c r="B1594" t="s">
        <v>99</v>
      </c>
      <c r="C1594" t="s">
        <v>9</v>
      </c>
      <c r="D1594">
        <v>192</v>
      </c>
      <c r="E1594">
        <v>192</v>
      </c>
      <c r="F1594">
        <v>99</v>
      </c>
    </row>
    <row r="1595" spans="1:6" x14ac:dyDescent="0.2">
      <c r="A1595">
        <v>20200805</v>
      </c>
      <c r="B1595" t="s">
        <v>108</v>
      </c>
      <c r="C1595" t="s">
        <v>7</v>
      </c>
      <c r="D1595">
        <v>1</v>
      </c>
      <c r="E1595">
        <v>1</v>
      </c>
      <c r="F1595">
        <v>1</v>
      </c>
    </row>
    <row r="1596" spans="1:6" x14ac:dyDescent="0.2">
      <c r="A1596">
        <v>20200805</v>
      </c>
      <c r="B1596" t="s">
        <v>44</v>
      </c>
      <c r="C1596" t="s">
        <v>9</v>
      </c>
      <c r="D1596">
        <v>2</v>
      </c>
      <c r="E1596">
        <v>2</v>
      </c>
      <c r="F1596">
        <v>0</v>
      </c>
    </row>
    <row r="1597" spans="1:6" x14ac:dyDescent="0.2">
      <c r="A1597">
        <v>20200805</v>
      </c>
      <c r="B1597" t="s">
        <v>97</v>
      </c>
      <c r="C1597" t="s">
        <v>9</v>
      </c>
      <c r="D1597">
        <v>1</v>
      </c>
      <c r="E1597">
        <v>1</v>
      </c>
      <c r="F1597">
        <v>0</v>
      </c>
    </row>
    <row r="1598" spans="1:6" x14ac:dyDescent="0.2">
      <c r="A1598">
        <v>20200805</v>
      </c>
      <c r="B1598" t="s">
        <v>76</v>
      </c>
      <c r="C1598" t="s">
        <v>7</v>
      </c>
      <c r="D1598">
        <v>262</v>
      </c>
      <c r="E1598">
        <v>262</v>
      </c>
      <c r="F1598">
        <v>197</v>
      </c>
    </row>
    <row r="1599" spans="1:6" x14ac:dyDescent="0.2">
      <c r="A1599">
        <v>20200805</v>
      </c>
      <c r="B1599" t="s">
        <v>76</v>
      </c>
      <c r="C1599" t="s">
        <v>9</v>
      </c>
      <c r="D1599">
        <v>728</v>
      </c>
      <c r="E1599">
        <v>728</v>
      </c>
      <c r="F1599">
        <v>546</v>
      </c>
    </row>
    <row r="1600" spans="1:6" x14ac:dyDescent="0.2">
      <c r="A1600">
        <v>20200805</v>
      </c>
      <c r="B1600" t="s">
        <v>158</v>
      </c>
      <c r="C1600" t="s">
        <v>7</v>
      </c>
      <c r="D1600">
        <v>2</v>
      </c>
      <c r="E1600">
        <v>1</v>
      </c>
      <c r="F1600">
        <v>0</v>
      </c>
    </row>
    <row r="1601" spans="1:6" x14ac:dyDescent="0.2">
      <c r="A1601">
        <v>20200805</v>
      </c>
      <c r="B1601" t="s">
        <v>158</v>
      </c>
      <c r="C1601" t="s">
        <v>9</v>
      </c>
      <c r="D1601">
        <v>290</v>
      </c>
      <c r="E1601">
        <v>221</v>
      </c>
      <c r="F1601">
        <v>34</v>
      </c>
    </row>
    <row r="1602" spans="1:6" x14ac:dyDescent="0.2">
      <c r="A1602">
        <v>20200805</v>
      </c>
      <c r="B1602" t="s">
        <v>118</v>
      </c>
      <c r="C1602" t="s">
        <v>7</v>
      </c>
      <c r="D1602">
        <v>99</v>
      </c>
      <c r="E1602">
        <v>0</v>
      </c>
      <c r="F1602">
        <v>0</v>
      </c>
    </row>
    <row r="1603" spans="1:6" x14ac:dyDescent="0.2">
      <c r="A1603">
        <v>20200805</v>
      </c>
      <c r="B1603" t="s">
        <v>118</v>
      </c>
      <c r="C1603" t="s">
        <v>9</v>
      </c>
      <c r="D1603">
        <v>124</v>
      </c>
      <c r="E1603">
        <v>1</v>
      </c>
      <c r="F1603">
        <v>0</v>
      </c>
    </row>
    <row r="1604" spans="1:6" x14ac:dyDescent="0.2">
      <c r="A1604">
        <v>20200805</v>
      </c>
      <c r="B1604" t="s">
        <v>53</v>
      </c>
      <c r="C1604" t="s">
        <v>9</v>
      </c>
      <c r="D1604">
        <v>73</v>
      </c>
      <c r="E1604">
        <v>73</v>
      </c>
      <c r="F1604">
        <v>45</v>
      </c>
    </row>
    <row r="1605" spans="1:6" x14ac:dyDescent="0.2">
      <c r="A1605">
        <v>20200805</v>
      </c>
      <c r="B1605" t="s">
        <v>95</v>
      </c>
      <c r="C1605" t="s">
        <v>7</v>
      </c>
      <c r="D1605">
        <v>167</v>
      </c>
      <c r="E1605">
        <v>167</v>
      </c>
      <c r="F1605">
        <v>90</v>
      </c>
    </row>
    <row r="1606" spans="1:6" x14ac:dyDescent="0.2">
      <c r="A1606">
        <v>20200805</v>
      </c>
      <c r="B1606" t="s">
        <v>95</v>
      </c>
      <c r="C1606" t="s">
        <v>9</v>
      </c>
      <c r="D1606">
        <v>103</v>
      </c>
      <c r="E1606">
        <v>103</v>
      </c>
      <c r="F1606">
        <v>67</v>
      </c>
    </row>
    <row r="1607" spans="1:6" x14ac:dyDescent="0.2">
      <c r="A1607">
        <v>20200805</v>
      </c>
      <c r="B1607" t="s">
        <v>64</v>
      </c>
      <c r="C1607" t="s">
        <v>7</v>
      </c>
      <c r="D1607">
        <v>1</v>
      </c>
      <c r="E1607">
        <v>1</v>
      </c>
      <c r="F1607">
        <v>1</v>
      </c>
    </row>
    <row r="1608" spans="1:6" x14ac:dyDescent="0.2">
      <c r="A1608">
        <v>20200805</v>
      </c>
      <c r="B1608" t="s">
        <v>64</v>
      </c>
      <c r="C1608" t="s">
        <v>9</v>
      </c>
      <c r="D1608">
        <v>1232</v>
      </c>
      <c r="E1608">
        <v>1232</v>
      </c>
      <c r="F1608">
        <v>923</v>
      </c>
    </row>
    <row r="1609" spans="1:6" x14ac:dyDescent="0.2">
      <c r="A1609">
        <v>20200805</v>
      </c>
      <c r="B1609" t="s">
        <v>68</v>
      </c>
      <c r="C1609" t="s">
        <v>7</v>
      </c>
      <c r="D1609">
        <v>5220</v>
      </c>
      <c r="E1609">
        <v>5220</v>
      </c>
      <c r="F1609">
        <v>4111</v>
      </c>
    </row>
    <row r="1610" spans="1:6" x14ac:dyDescent="0.2">
      <c r="A1610">
        <v>20200805</v>
      </c>
      <c r="B1610" t="s">
        <v>68</v>
      </c>
      <c r="C1610" t="s">
        <v>9</v>
      </c>
      <c r="D1610">
        <v>12540</v>
      </c>
      <c r="E1610">
        <v>12540</v>
      </c>
      <c r="F1610">
        <v>10075</v>
      </c>
    </row>
    <row r="1611" spans="1:6" x14ac:dyDescent="0.2">
      <c r="A1611">
        <v>20200805</v>
      </c>
      <c r="B1611" t="s">
        <v>85</v>
      </c>
      <c r="C1611" t="s">
        <v>9</v>
      </c>
      <c r="D1611">
        <v>1190</v>
      </c>
      <c r="E1611">
        <v>925</v>
      </c>
      <c r="F1611">
        <v>493</v>
      </c>
    </row>
    <row r="1612" spans="1:6" x14ac:dyDescent="0.2">
      <c r="A1612">
        <v>20200805</v>
      </c>
      <c r="B1612" t="s">
        <v>126</v>
      </c>
      <c r="C1612" t="s">
        <v>9</v>
      </c>
      <c r="D1612">
        <v>1</v>
      </c>
      <c r="E1612">
        <v>1</v>
      </c>
      <c r="F1612">
        <v>0</v>
      </c>
    </row>
    <row r="1613" spans="1:6" x14ac:dyDescent="0.2">
      <c r="A1613">
        <v>20200805</v>
      </c>
      <c r="B1613" t="s">
        <v>65</v>
      </c>
      <c r="C1613" t="s">
        <v>9</v>
      </c>
      <c r="D1613">
        <v>512</v>
      </c>
      <c r="E1613">
        <v>512</v>
      </c>
      <c r="F1613">
        <v>361</v>
      </c>
    </row>
    <row r="1614" spans="1:6" x14ac:dyDescent="0.2">
      <c r="A1614">
        <v>20200805</v>
      </c>
      <c r="B1614" t="s">
        <v>117</v>
      </c>
      <c r="C1614" t="s">
        <v>9</v>
      </c>
      <c r="D1614">
        <v>53</v>
      </c>
      <c r="E1614">
        <v>53</v>
      </c>
      <c r="F1614">
        <v>41</v>
      </c>
    </row>
    <row r="1615" spans="1:6" x14ac:dyDescent="0.2">
      <c r="A1615">
        <v>20200805</v>
      </c>
      <c r="B1615" t="s">
        <v>13</v>
      </c>
      <c r="C1615" t="s">
        <v>7</v>
      </c>
      <c r="D1615">
        <v>180</v>
      </c>
      <c r="E1615">
        <v>180</v>
      </c>
      <c r="F1615">
        <v>131</v>
      </c>
    </row>
    <row r="1616" spans="1:6" x14ac:dyDescent="0.2">
      <c r="A1616">
        <v>20200805</v>
      </c>
      <c r="B1616" t="s">
        <v>13</v>
      </c>
      <c r="C1616" t="s">
        <v>9</v>
      </c>
      <c r="D1616">
        <v>801</v>
      </c>
      <c r="E1616">
        <v>801</v>
      </c>
      <c r="F1616">
        <v>613</v>
      </c>
    </row>
    <row r="1617" spans="1:6" x14ac:dyDescent="0.2">
      <c r="A1617">
        <v>20200805</v>
      </c>
      <c r="B1617" t="s">
        <v>122</v>
      </c>
      <c r="C1617" t="s">
        <v>9</v>
      </c>
      <c r="D1617">
        <v>354</v>
      </c>
      <c r="E1617">
        <v>354</v>
      </c>
      <c r="F1617">
        <v>262</v>
      </c>
    </row>
    <row r="1618" spans="1:6" x14ac:dyDescent="0.2">
      <c r="A1618">
        <v>20200805</v>
      </c>
      <c r="B1618" t="s">
        <v>89</v>
      </c>
      <c r="C1618" t="s">
        <v>9</v>
      </c>
      <c r="D1618">
        <v>2</v>
      </c>
      <c r="E1618">
        <v>2</v>
      </c>
      <c r="F1618">
        <v>0</v>
      </c>
    </row>
    <row r="1619" spans="1:6" x14ac:dyDescent="0.2">
      <c r="A1619">
        <v>20200805</v>
      </c>
      <c r="B1619" t="s">
        <v>32</v>
      </c>
      <c r="C1619" t="s">
        <v>9</v>
      </c>
      <c r="D1619">
        <v>1</v>
      </c>
      <c r="E1619">
        <v>1</v>
      </c>
      <c r="F1619">
        <v>0</v>
      </c>
    </row>
    <row r="1620" spans="1:6" x14ac:dyDescent="0.2">
      <c r="A1620">
        <v>20200805</v>
      </c>
      <c r="B1620" t="s">
        <v>100</v>
      </c>
      <c r="C1620" t="s">
        <v>9</v>
      </c>
      <c r="D1620">
        <v>609</v>
      </c>
      <c r="E1620">
        <v>609</v>
      </c>
      <c r="F1620">
        <v>349</v>
      </c>
    </row>
    <row r="1621" spans="1:6" x14ac:dyDescent="0.2">
      <c r="A1621">
        <v>20200805</v>
      </c>
      <c r="B1621" t="s">
        <v>112</v>
      </c>
      <c r="C1621" t="s">
        <v>9</v>
      </c>
      <c r="D1621">
        <v>1</v>
      </c>
      <c r="E1621">
        <v>1</v>
      </c>
      <c r="F1621">
        <v>0</v>
      </c>
    </row>
    <row r="1622" spans="1:6" x14ac:dyDescent="0.2">
      <c r="A1622">
        <v>20200805</v>
      </c>
      <c r="B1622" t="s">
        <v>26</v>
      </c>
      <c r="C1622" t="s">
        <v>9</v>
      </c>
      <c r="D1622">
        <v>2</v>
      </c>
      <c r="E1622">
        <v>2</v>
      </c>
      <c r="F1622">
        <v>0</v>
      </c>
    </row>
    <row r="1623" spans="1:6" x14ac:dyDescent="0.2">
      <c r="A1623">
        <v>20200805</v>
      </c>
      <c r="B1623" t="s">
        <v>59</v>
      </c>
      <c r="C1623" t="s">
        <v>9</v>
      </c>
      <c r="D1623">
        <v>1</v>
      </c>
      <c r="E1623">
        <v>1</v>
      </c>
      <c r="F1623">
        <v>0</v>
      </c>
    </row>
    <row r="1624" spans="1:6" x14ac:dyDescent="0.2">
      <c r="A1624">
        <v>20200805</v>
      </c>
      <c r="B1624" t="s">
        <v>29</v>
      </c>
      <c r="C1624" t="s">
        <v>9</v>
      </c>
      <c r="D1624">
        <v>14</v>
      </c>
      <c r="E1624">
        <v>6</v>
      </c>
      <c r="F1624">
        <v>1</v>
      </c>
    </row>
    <row r="1625" spans="1:6" x14ac:dyDescent="0.2">
      <c r="A1625">
        <v>20200805</v>
      </c>
      <c r="B1625" t="s">
        <v>105</v>
      </c>
      <c r="C1625" t="s">
        <v>7</v>
      </c>
      <c r="D1625">
        <v>650</v>
      </c>
      <c r="E1625">
        <v>6</v>
      </c>
      <c r="F1625">
        <v>0</v>
      </c>
    </row>
    <row r="1626" spans="1:6" x14ac:dyDescent="0.2">
      <c r="A1626">
        <v>20200805</v>
      </c>
      <c r="B1626" t="s">
        <v>105</v>
      </c>
      <c r="C1626" t="s">
        <v>9</v>
      </c>
      <c r="D1626">
        <v>690</v>
      </c>
      <c r="E1626">
        <v>12</v>
      </c>
      <c r="F1626">
        <v>5</v>
      </c>
    </row>
    <row r="1627" spans="1:6" x14ac:dyDescent="0.2">
      <c r="A1627">
        <v>20200805</v>
      </c>
      <c r="B1627" t="s">
        <v>106</v>
      </c>
      <c r="C1627" t="s">
        <v>7</v>
      </c>
      <c r="D1627">
        <v>18</v>
      </c>
      <c r="E1627">
        <v>0</v>
      </c>
      <c r="F1627">
        <v>0</v>
      </c>
    </row>
    <row r="1628" spans="1:6" x14ac:dyDescent="0.2">
      <c r="A1628">
        <v>20200805</v>
      </c>
      <c r="B1628" t="s">
        <v>106</v>
      </c>
      <c r="C1628" t="s">
        <v>9</v>
      </c>
      <c r="D1628">
        <v>23</v>
      </c>
      <c r="E1628">
        <v>0</v>
      </c>
      <c r="F1628">
        <v>0</v>
      </c>
    </row>
    <row r="1629" spans="1:6" x14ac:dyDescent="0.2">
      <c r="A1629">
        <v>20200805</v>
      </c>
      <c r="B1629" t="s">
        <v>75</v>
      </c>
      <c r="C1629" t="s">
        <v>9</v>
      </c>
      <c r="D1629">
        <v>235</v>
      </c>
      <c r="E1629">
        <v>235</v>
      </c>
      <c r="F1629">
        <v>173</v>
      </c>
    </row>
    <row r="1630" spans="1:6" x14ac:dyDescent="0.2">
      <c r="A1630">
        <v>20200805</v>
      </c>
      <c r="B1630" t="s">
        <v>148</v>
      </c>
      <c r="C1630" t="s">
        <v>7</v>
      </c>
      <c r="D1630">
        <v>2</v>
      </c>
      <c r="E1630">
        <v>2</v>
      </c>
      <c r="F1630">
        <v>0</v>
      </c>
    </row>
    <row r="1631" spans="1:6" x14ac:dyDescent="0.2">
      <c r="A1631">
        <v>20200805</v>
      </c>
      <c r="B1631" t="s">
        <v>148</v>
      </c>
      <c r="C1631" t="s">
        <v>9</v>
      </c>
      <c r="D1631">
        <v>13</v>
      </c>
      <c r="E1631">
        <v>9</v>
      </c>
      <c r="F1631">
        <v>6</v>
      </c>
    </row>
    <row r="1632" spans="1:6" x14ac:dyDescent="0.2">
      <c r="A1632">
        <v>20200805</v>
      </c>
      <c r="B1632" t="s">
        <v>137</v>
      </c>
      <c r="C1632" t="s">
        <v>9</v>
      </c>
      <c r="D1632">
        <v>2</v>
      </c>
      <c r="E1632">
        <v>2</v>
      </c>
      <c r="F1632">
        <v>0</v>
      </c>
    </row>
    <row r="1633" spans="1:6" x14ac:dyDescent="0.2">
      <c r="A1633">
        <v>20200805</v>
      </c>
      <c r="B1633" t="s">
        <v>8</v>
      </c>
      <c r="C1633" t="s">
        <v>9</v>
      </c>
      <c r="D1633">
        <v>2</v>
      </c>
      <c r="E1633">
        <v>2</v>
      </c>
      <c r="F1633">
        <v>0</v>
      </c>
    </row>
    <row r="1634" spans="1:6" x14ac:dyDescent="0.2">
      <c r="A1634">
        <v>20200805</v>
      </c>
      <c r="B1634" t="s">
        <v>103</v>
      </c>
      <c r="C1634" t="s">
        <v>9</v>
      </c>
      <c r="D1634">
        <v>21</v>
      </c>
      <c r="E1634">
        <v>21</v>
      </c>
      <c r="F1634">
        <v>17</v>
      </c>
    </row>
    <row r="1635" spans="1:6" x14ac:dyDescent="0.2">
      <c r="A1635">
        <v>20200805</v>
      </c>
      <c r="B1635" t="s">
        <v>87</v>
      </c>
      <c r="C1635" t="s">
        <v>7</v>
      </c>
      <c r="D1635">
        <v>4075</v>
      </c>
      <c r="E1635">
        <v>542</v>
      </c>
      <c r="F1635">
        <v>302</v>
      </c>
    </row>
    <row r="1636" spans="1:6" x14ac:dyDescent="0.2">
      <c r="A1636">
        <v>20200805</v>
      </c>
      <c r="B1636" t="s">
        <v>87</v>
      </c>
      <c r="C1636" t="s">
        <v>9</v>
      </c>
      <c r="D1636">
        <v>4104</v>
      </c>
      <c r="E1636">
        <v>606</v>
      </c>
      <c r="F1636">
        <v>316</v>
      </c>
    </row>
    <row r="1637" spans="1:6" x14ac:dyDescent="0.2">
      <c r="A1637">
        <v>20200805</v>
      </c>
      <c r="B1637" t="s">
        <v>109</v>
      </c>
      <c r="C1637" t="s">
        <v>9</v>
      </c>
      <c r="D1637">
        <v>2</v>
      </c>
      <c r="E1637">
        <v>2</v>
      </c>
      <c r="F1637">
        <v>0</v>
      </c>
    </row>
    <row r="1638" spans="1:6" x14ac:dyDescent="0.2">
      <c r="A1638">
        <v>20200805</v>
      </c>
      <c r="B1638" t="s">
        <v>159</v>
      </c>
      <c r="C1638" t="s">
        <v>7</v>
      </c>
      <c r="D1638">
        <v>2</v>
      </c>
      <c r="E1638">
        <v>1</v>
      </c>
      <c r="F1638">
        <v>1</v>
      </c>
    </row>
    <row r="1639" spans="1:6" x14ac:dyDescent="0.2">
      <c r="A1639">
        <v>20200805</v>
      </c>
      <c r="B1639" t="s">
        <v>60</v>
      </c>
      <c r="C1639" t="s">
        <v>9</v>
      </c>
      <c r="D1639">
        <v>1</v>
      </c>
      <c r="E1639">
        <v>1</v>
      </c>
      <c r="F1639">
        <v>0</v>
      </c>
    </row>
    <row r="1640" spans="1:6" x14ac:dyDescent="0.2">
      <c r="A1640">
        <v>20200805</v>
      </c>
      <c r="B1640" t="s">
        <v>78</v>
      </c>
      <c r="C1640" t="s">
        <v>7</v>
      </c>
      <c r="D1640">
        <v>226</v>
      </c>
      <c r="E1640">
        <v>226</v>
      </c>
      <c r="F1640">
        <v>114</v>
      </c>
    </row>
    <row r="1641" spans="1:6" x14ac:dyDescent="0.2">
      <c r="A1641">
        <v>20200805</v>
      </c>
      <c r="B1641" t="s">
        <v>78</v>
      </c>
      <c r="C1641" t="s">
        <v>9</v>
      </c>
      <c r="D1641">
        <v>92</v>
      </c>
      <c r="E1641">
        <v>92</v>
      </c>
      <c r="F1641">
        <v>50</v>
      </c>
    </row>
    <row r="1642" spans="1:6" x14ac:dyDescent="0.2">
      <c r="A1642">
        <v>20200805</v>
      </c>
      <c r="B1642" t="s">
        <v>83</v>
      </c>
      <c r="C1642" t="s">
        <v>7</v>
      </c>
      <c r="D1642">
        <v>1</v>
      </c>
      <c r="E1642">
        <v>1</v>
      </c>
      <c r="F1642">
        <v>1</v>
      </c>
    </row>
    <row r="1643" spans="1:6" x14ac:dyDescent="0.2">
      <c r="A1643">
        <v>20200805</v>
      </c>
      <c r="B1643" t="s">
        <v>83</v>
      </c>
      <c r="C1643" t="s">
        <v>9</v>
      </c>
      <c r="D1643">
        <v>361</v>
      </c>
      <c r="E1643">
        <v>361</v>
      </c>
      <c r="F1643">
        <v>178</v>
      </c>
    </row>
    <row r="1644" spans="1:6" x14ac:dyDescent="0.2">
      <c r="A1644">
        <v>20200805</v>
      </c>
      <c r="B1644" t="s">
        <v>104</v>
      </c>
      <c r="C1644" t="s">
        <v>9</v>
      </c>
      <c r="D1644">
        <v>1</v>
      </c>
      <c r="E1644">
        <v>1</v>
      </c>
      <c r="F1644">
        <v>0</v>
      </c>
    </row>
    <row r="1645" spans="1:6" x14ac:dyDescent="0.2">
      <c r="A1645">
        <v>20200805</v>
      </c>
      <c r="B1645" t="s">
        <v>42</v>
      </c>
      <c r="C1645" t="s">
        <v>9</v>
      </c>
      <c r="D1645">
        <v>2</v>
      </c>
      <c r="E1645">
        <v>2</v>
      </c>
      <c r="F1645">
        <v>0</v>
      </c>
    </row>
    <row r="1646" spans="1:6" x14ac:dyDescent="0.2">
      <c r="A1646">
        <v>20200805</v>
      </c>
      <c r="B1646" t="s">
        <v>125</v>
      </c>
      <c r="C1646" t="s">
        <v>9</v>
      </c>
      <c r="D1646">
        <v>371</v>
      </c>
      <c r="E1646">
        <v>371</v>
      </c>
      <c r="F1646">
        <v>276</v>
      </c>
    </row>
    <row r="1647" spans="1:6" x14ac:dyDescent="0.2">
      <c r="A1647">
        <v>20200805</v>
      </c>
      <c r="B1647" t="s">
        <v>81</v>
      </c>
      <c r="C1647" t="s">
        <v>7</v>
      </c>
      <c r="D1647">
        <v>427</v>
      </c>
      <c r="E1647">
        <v>0</v>
      </c>
      <c r="F1647">
        <v>0</v>
      </c>
    </row>
    <row r="1648" spans="1:6" x14ac:dyDescent="0.2">
      <c r="A1648">
        <v>20200805</v>
      </c>
      <c r="B1648" t="s">
        <v>81</v>
      </c>
      <c r="C1648" t="s">
        <v>9</v>
      </c>
      <c r="D1648">
        <v>459</v>
      </c>
      <c r="E1648">
        <v>1</v>
      </c>
      <c r="F1648">
        <v>1</v>
      </c>
    </row>
    <row r="1649" spans="1:6" x14ac:dyDescent="0.2">
      <c r="A1649">
        <v>20200805</v>
      </c>
      <c r="B1649" t="s">
        <v>107</v>
      </c>
      <c r="C1649" t="s">
        <v>7</v>
      </c>
      <c r="D1649">
        <v>164</v>
      </c>
      <c r="E1649">
        <v>164</v>
      </c>
      <c r="F1649">
        <v>73</v>
      </c>
    </row>
    <row r="1650" spans="1:6" x14ac:dyDescent="0.2">
      <c r="A1650">
        <v>20200805</v>
      </c>
      <c r="B1650" t="s">
        <v>107</v>
      </c>
      <c r="C1650" t="s">
        <v>9</v>
      </c>
      <c r="D1650">
        <v>58</v>
      </c>
      <c r="E1650">
        <v>58</v>
      </c>
      <c r="F1650">
        <v>26</v>
      </c>
    </row>
    <row r="1651" spans="1:6" x14ac:dyDescent="0.2">
      <c r="A1651">
        <v>20200805</v>
      </c>
      <c r="B1651" t="s">
        <v>48</v>
      </c>
      <c r="C1651" t="s">
        <v>9</v>
      </c>
      <c r="D1651">
        <v>671</v>
      </c>
      <c r="E1651">
        <v>671</v>
      </c>
      <c r="F1651">
        <v>432</v>
      </c>
    </row>
    <row r="1652" spans="1:6" x14ac:dyDescent="0.2">
      <c r="A1652">
        <v>20200805</v>
      </c>
      <c r="B1652" t="s">
        <v>93</v>
      </c>
      <c r="C1652" t="s">
        <v>7</v>
      </c>
      <c r="D1652">
        <v>834</v>
      </c>
      <c r="E1652">
        <v>834</v>
      </c>
      <c r="F1652">
        <v>615</v>
      </c>
    </row>
    <row r="1653" spans="1:6" x14ac:dyDescent="0.2">
      <c r="A1653">
        <v>20200805</v>
      </c>
      <c r="B1653" t="s">
        <v>93</v>
      </c>
      <c r="C1653" t="s">
        <v>9</v>
      </c>
      <c r="D1653">
        <v>839</v>
      </c>
      <c r="E1653">
        <v>839</v>
      </c>
      <c r="F1653">
        <v>639</v>
      </c>
    </row>
    <row r="1654" spans="1:6" x14ac:dyDescent="0.2">
      <c r="A1654">
        <v>20200805</v>
      </c>
      <c r="B1654" t="s">
        <v>30</v>
      </c>
      <c r="C1654" t="s">
        <v>9</v>
      </c>
      <c r="D1654">
        <v>52</v>
      </c>
      <c r="E1654">
        <v>52</v>
      </c>
      <c r="F1654">
        <v>37</v>
      </c>
    </row>
    <row r="1655" spans="1:6" x14ac:dyDescent="0.2">
      <c r="A1655">
        <v>20200805</v>
      </c>
      <c r="B1655" t="s">
        <v>67</v>
      </c>
      <c r="C1655" t="s">
        <v>9</v>
      </c>
      <c r="D1655">
        <v>2</v>
      </c>
      <c r="E1655">
        <v>2</v>
      </c>
      <c r="F1655">
        <v>0</v>
      </c>
    </row>
    <row r="1656" spans="1:6" x14ac:dyDescent="0.2">
      <c r="A1656">
        <v>20200805</v>
      </c>
      <c r="B1656" t="s">
        <v>22</v>
      </c>
      <c r="C1656" t="s">
        <v>7</v>
      </c>
      <c r="D1656">
        <v>3169</v>
      </c>
      <c r="E1656">
        <v>3169</v>
      </c>
      <c r="F1656">
        <v>2350</v>
      </c>
    </row>
    <row r="1657" spans="1:6" x14ac:dyDescent="0.2">
      <c r="A1657">
        <v>20200805</v>
      </c>
      <c r="B1657" t="s">
        <v>22</v>
      </c>
      <c r="C1657" t="s">
        <v>9</v>
      </c>
      <c r="D1657">
        <v>2578</v>
      </c>
      <c r="E1657">
        <v>2578</v>
      </c>
      <c r="F1657">
        <v>1947</v>
      </c>
    </row>
    <row r="1658" spans="1:6" x14ac:dyDescent="0.2">
      <c r="A1658">
        <v>20200805</v>
      </c>
      <c r="B1658" t="s">
        <v>55</v>
      </c>
      <c r="C1658" t="s">
        <v>9</v>
      </c>
      <c r="D1658">
        <v>695</v>
      </c>
      <c r="E1658">
        <v>695</v>
      </c>
      <c r="F1658">
        <v>500</v>
      </c>
    </row>
    <row r="1659" spans="1:6" x14ac:dyDescent="0.2">
      <c r="A1659">
        <v>20200805</v>
      </c>
      <c r="B1659" t="s">
        <v>10</v>
      </c>
      <c r="C1659" t="s">
        <v>9</v>
      </c>
      <c r="D1659">
        <v>1</v>
      </c>
      <c r="E1659">
        <v>1</v>
      </c>
      <c r="F1659">
        <v>0</v>
      </c>
    </row>
    <row r="1660" spans="1:6" x14ac:dyDescent="0.2">
      <c r="A1660">
        <v>20200805</v>
      </c>
      <c r="B1660" t="s">
        <v>111</v>
      </c>
      <c r="C1660" t="s">
        <v>9</v>
      </c>
      <c r="D1660">
        <v>832</v>
      </c>
      <c r="E1660">
        <v>832</v>
      </c>
      <c r="F1660">
        <v>563</v>
      </c>
    </row>
    <row r="1661" spans="1:6" x14ac:dyDescent="0.2">
      <c r="A1661">
        <v>20200805</v>
      </c>
      <c r="B1661" t="s">
        <v>110</v>
      </c>
      <c r="C1661" t="s">
        <v>7</v>
      </c>
      <c r="D1661">
        <v>56</v>
      </c>
      <c r="E1661">
        <v>48</v>
      </c>
      <c r="F1661">
        <v>24</v>
      </c>
    </row>
    <row r="1662" spans="1:6" x14ac:dyDescent="0.2">
      <c r="A1662">
        <v>20200805</v>
      </c>
      <c r="B1662" t="s">
        <v>110</v>
      </c>
      <c r="C1662" t="s">
        <v>9</v>
      </c>
      <c r="D1662">
        <v>28</v>
      </c>
      <c r="E1662">
        <v>23</v>
      </c>
      <c r="F1662">
        <v>9</v>
      </c>
    </row>
    <row r="1663" spans="1:6" x14ac:dyDescent="0.2">
      <c r="A1663">
        <v>20200805</v>
      </c>
      <c r="C1663" t="s">
        <v>7</v>
      </c>
      <c r="D1663">
        <v>12442</v>
      </c>
      <c r="E1663">
        <v>0</v>
      </c>
      <c r="F1663">
        <v>0</v>
      </c>
    </row>
    <row r="1664" spans="1:6" x14ac:dyDescent="0.2">
      <c r="A1664">
        <v>20200805</v>
      </c>
      <c r="C1664" t="s">
        <v>9</v>
      </c>
      <c r="D1664">
        <v>13142</v>
      </c>
      <c r="E1664">
        <v>0</v>
      </c>
      <c r="F1664">
        <v>0</v>
      </c>
    </row>
    <row r="1665" spans="1:6" x14ac:dyDescent="0.2">
      <c r="A1665">
        <v>20200806</v>
      </c>
      <c r="B1665" t="s">
        <v>82</v>
      </c>
      <c r="C1665" t="s">
        <v>7</v>
      </c>
      <c r="D1665">
        <v>2112</v>
      </c>
      <c r="E1665">
        <v>2112</v>
      </c>
      <c r="F1665">
        <v>1268</v>
      </c>
    </row>
    <row r="1666" spans="1:6" x14ac:dyDescent="0.2">
      <c r="A1666">
        <v>20200806</v>
      </c>
      <c r="B1666" t="s">
        <v>82</v>
      </c>
      <c r="C1666" t="s">
        <v>9</v>
      </c>
      <c r="D1666">
        <v>1150</v>
      </c>
      <c r="E1666">
        <v>1150</v>
      </c>
      <c r="F1666">
        <v>703</v>
      </c>
    </row>
    <row r="1667" spans="1:6" x14ac:dyDescent="0.2">
      <c r="A1667">
        <v>20200806</v>
      </c>
      <c r="B1667" t="s">
        <v>34</v>
      </c>
      <c r="C1667" t="s">
        <v>7</v>
      </c>
      <c r="D1667">
        <v>537</v>
      </c>
      <c r="E1667">
        <v>385</v>
      </c>
      <c r="F1667">
        <v>195</v>
      </c>
    </row>
    <row r="1668" spans="1:6" x14ac:dyDescent="0.2">
      <c r="A1668">
        <v>20200806</v>
      </c>
      <c r="B1668" t="s">
        <v>34</v>
      </c>
      <c r="C1668" t="s">
        <v>9</v>
      </c>
      <c r="D1668">
        <v>311</v>
      </c>
      <c r="E1668">
        <v>218</v>
      </c>
      <c r="F1668">
        <v>109</v>
      </c>
    </row>
    <row r="1669" spans="1:6" x14ac:dyDescent="0.2">
      <c r="A1669">
        <v>20200806</v>
      </c>
      <c r="B1669" t="s">
        <v>40</v>
      </c>
      <c r="C1669" t="s">
        <v>7</v>
      </c>
      <c r="D1669">
        <v>9</v>
      </c>
      <c r="E1669">
        <v>6</v>
      </c>
      <c r="F1669">
        <v>1</v>
      </c>
    </row>
    <row r="1670" spans="1:6" x14ac:dyDescent="0.2">
      <c r="A1670">
        <v>20200806</v>
      </c>
      <c r="B1670" t="s">
        <v>40</v>
      </c>
      <c r="C1670" t="s">
        <v>9</v>
      </c>
      <c r="D1670">
        <v>152</v>
      </c>
      <c r="E1670">
        <v>118</v>
      </c>
      <c r="F1670">
        <v>6</v>
      </c>
    </row>
    <row r="1671" spans="1:6" x14ac:dyDescent="0.2">
      <c r="A1671">
        <v>20200806</v>
      </c>
      <c r="B1671" t="s">
        <v>94</v>
      </c>
      <c r="C1671" t="s">
        <v>9</v>
      </c>
      <c r="D1671">
        <v>43</v>
      </c>
      <c r="E1671">
        <v>43</v>
      </c>
      <c r="F1671">
        <v>32</v>
      </c>
    </row>
    <row r="1672" spans="1:6" x14ac:dyDescent="0.2">
      <c r="A1672">
        <v>20200806</v>
      </c>
      <c r="B1672" t="s">
        <v>45</v>
      </c>
      <c r="C1672" t="s">
        <v>7</v>
      </c>
      <c r="D1672">
        <v>1643</v>
      </c>
      <c r="E1672">
        <v>2</v>
      </c>
      <c r="F1672">
        <v>0</v>
      </c>
    </row>
    <row r="1673" spans="1:6" x14ac:dyDescent="0.2">
      <c r="A1673">
        <v>20200806</v>
      </c>
      <c r="B1673" t="s">
        <v>45</v>
      </c>
      <c r="C1673" t="s">
        <v>9</v>
      </c>
      <c r="D1673">
        <v>1617</v>
      </c>
      <c r="E1673">
        <v>5</v>
      </c>
      <c r="F1673">
        <v>1</v>
      </c>
    </row>
    <row r="1674" spans="1:6" x14ac:dyDescent="0.2">
      <c r="A1674">
        <v>20200806</v>
      </c>
      <c r="B1674" t="s">
        <v>69</v>
      </c>
      <c r="C1674" t="s">
        <v>7</v>
      </c>
      <c r="D1674">
        <v>647</v>
      </c>
      <c r="E1674">
        <v>1</v>
      </c>
      <c r="F1674">
        <v>0</v>
      </c>
    </row>
    <row r="1675" spans="1:6" x14ac:dyDescent="0.2">
      <c r="A1675">
        <v>20200806</v>
      </c>
      <c r="B1675" t="s">
        <v>69</v>
      </c>
      <c r="C1675" t="s">
        <v>9</v>
      </c>
      <c r="D1675">
        <v>692</v>
      </c>
      <c r="E1675">
        <v>2</v>
      </c>
      <c r="F1675">
        <v>1</v>
      </c>
    </row>
    <row r="1676" spans="1:6" x14ac:dyDescent="0.2">
      <c r="A1676">
        <v>20200806</v>
      </c>
      <c r="B1676" t="s">
        <v>123</v>
      </c>
      <c r="C1676" t="s">
        <v>7</v>
      </c>
      <c r="D1676">
        <v>912</v>
      </c>
      <c r="E1676">
        <v>5</v>
      </c>
      <c r="F1676">
        <v>3</v>
      </c>
    </row>
    <row r="1677" spans="1:6" x14ac:dyDescent="0.2">
      <c r="A1677">
        <v>20200806</v>
      </c>
      <c r="B1677" t="s">
        <v>123</v>
      </c>
      <c r="C1677" t="s">
        <v>9</v>
      </c>
      <c r="D1677">
        <v>887</v>
      </c>
      <c r="E1677">
        <v>5</v>
      </c>
      <c r="F1677">
        <v>2</v>
      </c>
    </row>
    <row r="1678" spans="1:6" x14ac:dyDescent="0.2">
      <c r="A1678">
        <v>20200806</v>
      </c>
      <c r="B1678" t="s">
        <v>101</v>
      </c>
      <c r="C1678" t="s">
        <v>7</v>
      </c>
      <c r="D1678">
        <v>1767</v>
      </c>
      <c r="E1678">
        <v>3</v>
      </c>
      <c r="F1678">
        <v>1</v>
      </c>
    </row>
    <row r="1679" spans="1:6" x14ac:dyDescent="0.2">
      <c r="A1679">
        <v>20200806</v>
      </c>
      <c r="B1679" t="s">
        <v>101</v>
      </c>
      <c r="C1679" t="s">
        <v>9</v>
      </c>
      <c r="D1679">
        <v>1823</v>
      </c>
      <c r="E1679">
        <v>2</v>
      </c>
      <c r="F1679">
        <v>2</v>
      </c>
    </row>
    <row r="1680" spans="1:6" x14ac:dyDescent="0.2">
      <c r="A1680">
        <v>20200806</v>
      </c>
      <c r="B1680" t="s">
        <v>11</v>
      </c>
      <c r="C1680" t="s">
        <v>7</v>
      </c>
      <c r="D1680">
        <v>12353</v>
      </c>
      <c r="E1680">
        <v>0</v>
      </c>
      <c r="F1680">
        <v>0</v>
      </c>
    </row>
    <row r="1681" spans="1:6" x14ac:dyDescent="0.2">
      <c r="A1681">
        <v>20200806</v>
      </c>
      <c r="B1681" t="s">
        <v>11</v>
      </c>
      <c r="C1681" t="s">
        <v>9</v>
      </c>
      <c r="D1681">
        <v>12267</v>
      </c>
      <c r="E1681">
        <v>0</v>
      </c>
      <c r="F1681">
        <v>0</v>
      </c>
    </row>
    <row r="1682" spans="1:6" x14ac:dyDescent="0.2">
      <c r="A1682">
        <v>20200806</v>
      </c>
      <c r="B1682" t="s">
        <v>16</v>
      </c>
      <c r="C1682" t="s">
        <v>7</v>
      </c>
      <c r="D1682">
        <v>277</v>
      </c>
      <c r="E1682">
        <v>277</v>
      </c>
      <c r="F1682">
        <v>157</v>
      </c>
    </row>
    <row r="1683" spans="1:6" x14ac:dyDescent="0.2">
      <c r="A1683">
        <v>20200806</v>
      </c>
      <c r="B1683" t="s">
        <v>16</v>
      </c>
      <c r="C1683" t="s">
        <v>9</v>
      </c>
      <c r="D1683">
        <v>269</v>
      </c>
      <c r="E1683">
        <v>269</v>
      </c>
      <c r="F1683">
        <v>165</v>
      </c>
    </row>
    <row r="1684" spans="1:6" x14ac:dyDescent="0.2">
      <c r="A1684">
        <v>20200806</v>
      </c>
      <c r="B1684" t="s">
        <v>120</v>
      </c>
      <c r="C1684" t="s">
        <v>9</v>
      </c>
      <c r="D1684">
        <v>2</v>
      </c>
      <c r="E1684">
        <v>2</v>
      </c>
      <c r="F1684">
        <v>0</v>
      </c>
    </row>
    <row r="1685" spans="1:6" x14ac:dyDescent="0.2">
      <c r="A1685">
        <v>20200806</v>
      </c>
      <c r="B1685" t="s">
        <v>6</v>
      </c>
      <c r="C1685" t="s">
        <v>7</v>
      </c>
      <c r="D1685">
        <v>3647</v>
      </c>
      <c r="E1685">
        <v>295</v>
      </c>
      <c r="F1685">
        <v>143</v>
      </c>
    </row>
    <row r="1686" spans="1:6" x14ac:dyDescent="0.2">
      <c r="A1686">
        <v>20200806</v>
      </c>
      <c r="B1686" t="s">
        <v>6</v>
      </c>
      <c r="C1686" t="s">
        <v>9</v>
      </c>
      <c r="D1686">
        <v>4979</v>
      </c>
      <c r="E1686">
        <v>1732</v>
      </c>
      <c r="F1686">
        <v>1013</v>
      </c>
    </row>
    <row r="1687" spans="1:6" x14ac:dyDescent="0.2">
      <c r="A1687">
        <v>20200806</v>
      </c>
      <c r="B1687" t="s">
        <v>41</v>
      </c>
      <c r="C1687" t="s">
        <v>7</v>
      </c>
      <c r="D1687">
        <v>1285</v>
      </c>
      <c r="E1687">
        <v>368</v>
      </c>
      <c r="F1687">
        <v>156</v>
      </c>
    </row>
    <row r="1688" spans="1:6" x14ac:dyDescent="0.2">
      <c r="A1688">
        <v>20200806</v>
      </c>
      <c r="B1688" t="s">
        <v>41</v>
      </c>
      <c r="C1688" t="s">
        <v>9</v>
      </c>
      <c r="D1688">
        <v>2623</v>
      </c>
      <c r="E1688">
        <v>1567</v>
      </c>
      <c r="F1688">
        <v>800</v>
      </c>
    </row>
    <row r="1689" spans="1:6" x14ac:dyDescent="0.2">
      <c r="A1689">
        <v>20200806</v>
      </c>
      <c r="B1689" t="s">
        <v>119</v>
      </c>
      <c r="C1689" t="s">
        <v>7</v>
      </c>
      <c r="D1689">
        <v>850</v>
      </c>
      <c r="E1689">
        <v>850</v>
      </c>
      <c r="F1689">
        <v>405</v>
      </c>
    </row>
    <row r="1690" spans="1:6" x14ac:dyDescent="0.2">
      <c r="A1690">
        <v>20200806</v>
      </c>
      <c r="B1690" t="s">
        <v>119</v>
      </c>
      <c r="C1690" t="s">
        <v>9</v>
      </c>
      <c r="D1690">
        <v>1454</v>
      </c>
      <c r="E1690">
        <v>1454</v>
      </c>
      <c r="F1690">
        <v>657</v>
      </c>
    </row>
    <row r="1691" spans="1:6" x14ac:dyDescent="0.2">
      <c r="A1691">
        <v>20200806</v>
      </c>
      <c r="B1691" t="s">
        <v>51</v>
      </c>
      <c r="C1691" t="s">
        <v>9</v>
      </c>
      <c r="D1691">
        <v>1</v>
      </c>
      <c r="E1691">
        <v>1</v>
      </c>
      <c r="F1691">
        <v>0</v>
      </c>
    </row>
    <row r="1692" spans="1:6" x14ac:dyDescent="0.2">
      <c r="A1692">
        <v>20200806</v>
      </c>
      <c r="B1692" t="s">
        <v>36</v>
      </c>
      <c r="C1692" t="s">
        <v>9</v>
      </c>
      <c r="D1692">
        <v>862</v>
      </c>
      <c r="E1692">
        <v>584</v>
      </c>
      <c r="F1692">
        <v>179</v>
      </c>
    </row>
    <row r="1693" spans="1:6" x14ac:dyDescent="0.2">
      <c r="A1693">
        <v>20200806</v>
      </c>
      <c r="B1693" t="s">
        <v>88</v>
      </c>
      <c r="C1693" t="s">
        <v>7</v>
      </c>
      <c r="D1693">
        <v>66</v>
      </c>
      <c r="E1693">
        <v>66</v>
      </c>
      <c r="F1693">
        <v>30</v>
      </c>
    </row>
    <row r="1694" spans="1:6" x14ac:dyDescent="0.2">
      <c r="A1694">
        <v>20200806</v>
      </c>
      <c r="B1694" t="s">
        <v>88</v>
      </c>
      <c r="C1694" t="s">
        <v>9</v>
      </c>
      <c r="D1694">
        <v>241</v>
      </c>
      <c r="E1694">
        <v>241</v>
      </c>
      <c r="F1694">
        <v>139</v>
      </c>
    </row>
    <row r="1695" spans="1:6" x14ac:dyDescent="0.2">
      <c r="A1695">
        <v>20200806</v>
      </c>
      <c r="B1695" t="s">
        <v>35</v>
      </c>
      <c r="C1695" t="s">
        <v>9</v>
      </c>
      <c r="D1695">
        <v>39</v>
      </c>
      <c r="E1695">
        <v>39</v>
      </c>
      <c r="F1695">
        <v>14</v>
      </c>
    </row>
    <row r="1696" spans="1:6" x14ac:dyDescent="0.2">
      <c r="A1696">
        <v>20200806</v>
      </c>
      <c r="B1696" t="s">
        <v>61</v>
      </c>
      <c r="C1696" t="s">
        <v>9</v>
      </c>
      <c r="D1696">
        <v>1</v>
      </c>
      <c r="E1696">
        <v>1</v>
      </c>
      <c r="F1696">
        <v>0</v>
      </c>
    </row>
    <row r="1697" spans="1:6" x14ac:dyDescent="0.2">
      <c r="A1697">
        <v>20200806</v>
      </c>
      <c r="B1697" t="s">
        <v>20</v>
      </c>
      <c r="C1697" t="s">
        <v>7</v>
      </c>
      <c r="D1697">
        <v>17</v>
      </c>
      <c r="E1697">
        <v>9</v>
      </c>
      <c r="F1697">
        <v>6</v>
      </c>
    </row>
    <row r="1698" spans="1:6" x14ac:dyDescent="0.2">
      <c r="A1698">
        <v>20200806</v>
      </c>
      <c r="B1698" t="s">
        <v>20</v>
      </c>
      <c r="C1698" t="s">
        <v>9</v>
      </c>
      <c r="D1698">
        <v>384</v>
      </c>
      <c r="E1698">
        <v>235</v>
      </c>
      <c r="F1698">
        <v>146</v>
      </c>
    </row>
    <row r="1699" spans="1:6" x14ac:dyDescent="0.2">
      <c r="A1699">
        <v>20200806</v>
      </c>
      <c r="B1699" t="s">
        <v>38</v>
      </c>
      <c r="C1699" t="s">
        <v>7</v>
      </c>
      <c r="D1699">
        <v>1058</v>
      </c>
      <c r="E1699">
        <v>1058</v>
      </c>
      <c r="F1699">
        <v>576</v>
      </c>
    </row>
    <row r="1700" spans="1:6" x14ac:dyDescent="0.2">
      <c r="A1700">
        <v>20200806</v>
      </c>
      <c r="B1700" t="s">
        <v>38</v>
      </c>
      <c r="C1700" t="s">
        <v>9</v>
      </c>
      <c r="D1700">
        <v>298</v>
      </c>
      <c r="E1700">
        <v>298</v>
      </c>
      <c r="F1700">
        <v>175</v>
      </c>
    </row>
    <row r="1701" spans="1:6" x14ac:dyDescent="0.2">
      <c r="A1701">
        <v>20200806</v>
      </c>
      <c r="B1701" t="s">
        <v>25</v>
      </c>
      <c r="C1701" t="s">
        <v>9</v>
      </c>
      <c r="D1701">
        <v>362</v>
      </c>
      <c r="E1701">
        <v>362</v>
      </c>
      <c r="F1701">
        <v>261</v>
      </c>
    </row>
    <row r="1702" spans="1:6" x14ac:dyDescent="0.2">
      <c r="A1702">
        <v>20200806</v>
      </c>
      <c r="B1702" t="s">
        <v>39</v>
      </c>
      <c r="C1702" t="s">
        <v>7</v>
      </c>
      <c r="D1702">
        <v>47</v>
      </c>
      <c r="E1702">
        <v>47</v>
      </c>
      <c r="F1702">
        <v>33</v>
      </c>
    </row>
    <row r="1703" spans="1:6" x14ac:dyDescent="0.2">
      <c r="A1703">
        <v>20200806</v>
      </c>
      <c r="B1703" t="s">
        <v>39</v>
      </c>
      <c r="C1703" t="s">
        <v>9</v>
      </c>
      <c r="D1703">
        <v>43</v>
      </c>
      <c r="E1703">
        <v>43</v>
      </c>
      <c r="F1703">
        <v>31</v>
      </c>
    </row>
    <row r="1704" spans="1:6" x14ac:dyDescent="0.2">
      <c r="A1704">
        <v>20200806</v>
      </c>
      <c r="B1704" t="s">
        <v>66</v>
      </c>
      <c r="C1704" t="s">
        <v>9</v>
      </c>
      <c r="D1704">
        <v>12</v>
      </c>
      <c r="E1704">
        <v>8</v>
      </c>
      <c r="F1704">
        <v>3</v>
      </c>
    </row>
    <row r="1705" spans="1:6" x14ac:dyDescent="0.2">
      <c r="A1705">
        <v>20200806</v>
      </c>
      <c r="B1705" t="s">
        <v>99</v>
      </c>
      <c r="C1705" t="s">
        <v>9</v>
      </c>
      <c r="D1705">
        <v>188</v>
      </c>
      <c r="E1705">
        <v>188</v>
      </c>
      <c r="F1705">
        <v>96</v>
      </c>
    </row>
    <row r="1706" spans="1:6" x14ac:dyDescent="0.2">
      <c r="A1706">
        <v>20200806</v>
      </c>
      <c r="B1706" t="s">
        <v>108</v>
      </c>
      <c r="C1706" t="s">
        <v>7</v>
      </c>
      <c r="D1706">
        <v>4000</v>
      </c>
      <c r="E1706">
        <v>4000</v>
      </c>
      <c r="F1706">
        <v>2671</v>
      </c>
    </row>
    <row r="1707" spans="1:6" x14ac:dyDescent="0.2">
      <c r="A1707">
        <v>20200806</v>
      </c>
      <c r="B1707" t="s">
        <v>108</v>
      </c>
      <c r="C1707" t="s">
        <v>9</v>
      </c>
      <c r="D1707">
        <v>3554</v>
      </c>
      <c r="E1707">
        <v>3554</v>
      </c>
      <c r="F1707">
        <v>2375</v>
      </c>
    </row>
    <row r="1708" spans="1:6" x14ac:dyDescent="0.2">
      <c r="A1708">
        <v>20200806</v>
      </c>
      <c r="B1708" t="s">
        <v>44</v>
      </c>
      <c r="C1708" t="s">
        <v>9</v>
      </c>
      <c r="D1708">
        <v>1</v>
      </c>
      <c r="E1708">
        <v>1</v>
      </c>
      <c r="F1708">
        <v>0</v>
      </c>
    </row>
    <row r="1709" spans="1:6" x14ac:dyDescent="0.2">
      <c r="A1709">
        <v>20200806</v>
      </c>
      <c r="B1709" t="s">
        <v>97</v>
      </c>
      <c r="C1709" t="s">
        <v>9</v>
      </c>
      <c r="D1709">
        <v>1</v>
      </c>
      <c r="E1709">
        <v>1</v>
      </c>
      <c r="F1709">
        <v>0</v>
      </c>
    </row>
    <row r="1710" spans="1:6" x14ac:dyDescent="0.2">
      <c r="A1710">
        <v>20200806</v>
      </c>
      <c r="B1710" t="s">
        <v>76</v>
      </c>
      <c r="C1710" t="s">
        <v>7</v>
      </c>
      <c r="D1710">
        <v>181</v>
      </c>
      <c r="E1710">
        <v>181</v>
      </c>
      <c r="F1710">
        <v>134</v>
      </c>
    </row>
    <row r="1711" spans="1:6" x14ac:dyDescent="0.2">
      <c r="A1711">
        <v>20200806</v>
      </c>
      <c r="B1711" t="s">
        <v>76</v>
      </c>
      <c r="C1711" t="s">
        <v>9</v>
      </c>
      <c r="D1711">
        <v>699</v>
      </c>
      <c r="E1711">
        <v>699</v>
      </c>
      <c r="F1711">
        <v>497</v>
      </c>
    </row>
    <row r="1712" spans="1:6" x14ac:dyDescent="0.2">
      <c r="A1712">
        <v>20200806</v>
      </c>
      <c r="B1712" t="s">
        <v>62</v>
      </c>
      <c r="C1712" t="s">
        <v>7</v>
      </c>
      <c r="D1712">
        <v>1</v>
      </c>
      <c r="E1712">
        <v>1</v>
      </c>
      <c r="F1712">
        <v>1</v>
      </c>
    </row>
    <row r="1713" spans="1:6" x14ac:dyDescent="0.2">
      <c r="A1713">
        <v>20200806</v>
      </c>
      <c r="B1713" t="s">
        <v>62</v>
      </c>
      <c r="C1713" t="s">
        <v>9</v>
      </c>
      <c r="D1713">
        <v>75</v>
      </c>
      <c r="E1713">
        <v>51</v>
      </c>
      <c r="F1713">
        <v>32</v>
      </c>
    </row>
    <row r="1714" spans="1:6" x14ac:dyDescent="0.2">
      <c r="A1714">
        <v>20200806</v>
      </c>
      <c r="B1714" t="s">
        <v>158</v>
      </c>
      <c r="C1714" t="s">
        <v>9</v>
      </c>
      <c r="D1714">
        <v>242</v>
      </c>
      <c r="E1714">
        <v>178</v>
      </c>
      <c r="F1714">
        <v>31</v>
      </c>
    </row>
    <row r="1715" spans="1:6" x14ac:dyDescent="0.2">
      <c r="A1715">
        <v>20200806</v>
      </c>
      <c r="B1715" t="s">
        <v>53</v>
      </c>
      <c r="C1715" t="s">
        <v>9</v>
      </c>
      <c r="D1715">
        <v>72</v>
      </c>
      <c r="E1715">
        <v>72</v>
      </c>
      <c r="F1715">
        <v>42</v>
      </c>
    </row>
    <row r="1716" spans="1:6" x14ac:dyDescent="0.2">
      <c r="A1716">
        <v>20200806</v>
      </c>
      <c r="B1716" t="s">
        <v>95</v>
      </c>
      <c r="C1716" t="s">
        <v>7</v>
      </c>
      <c r="D1716">
        <v>27</v>
      </c>
      <c r="E1716">
        <v>27</v>
      </c>
      <c r="F1716">
        <v>18</v>
      </c>
    </row>
    <row r="1717" spans="1:6" x14ac:dyDescent="0.2">
      <c r="A1717">
        <v>20200806</v>
      </c>
      <c r="B1717" t="s">
        <v>95</v>
      </c>
      <c r="C1717" t="s">
        <v>9</v>
      </c>
      <c r="D1717">
        <v>92</v>
      </c>
      <c r="E1717">
        <v>92</v>
      </c>
      <c r="F1717">
        <v>49</v>
      </c>
    </row>
    <row r="1718" spans="1:6" x14ac:dyDescent="0.2">
      <c r="A1718">
        <v>20200806</v>
      </c>
      <c r="B1718" t="s">
        <v>64</v>
      </c>
      <c r="C1718" t="s">
        <v>7</v>
      </c>
      <c r="D1718">
        <v>1</v>
      </c>
      <c r="E1718">
        <v>1</v>
      </c>
      <c r="F1718">
        <v>0</v>
      </c>
    </row>
    <row r="1719" spans="1:6" x14ac:dyDescent="0.2">
      <c r="A1719">
        <v>20200806</v>
      </c>
      <c r="B1719" t="s">
        <v>64</v>
      </c>
      <c r="C1719" t="s">
        <v>9</v>
      </c>
      <c r="D1719">
        <v>505</v>
      </c>
      <c r="E1719">
        <v>505</v>
      </c>
      <c r="F1719">
        <v>379</v>
      </c>
    </row>
    <row r="1720" spans="1:6" x14ac:dyDescent="0.2">
      <c r="A1720">
        <v>20200806</v>
      </c>
      <c r="B1720" t="s">
        <v>68</v>
      </c>
      <c r="C1720" t="s">
        <v>7</v>
      </c>
      <c r="D1720">
        <v>1032</v>
      </c>
      <c r="E1720">
        <v>1032</v>
      </c>
      <c r="F1720">
        <v>631</v>
      </c>
    </row>
    <row r="1721" spans="1:6" x14ac:dyDescent="0.2">
      <c r="A1721">
        <v>20200806</v>
      </c>
      <c r="B1721" t="s">
        <v>68</v>
      </c>
      <c r="C1721" t="s">
        <v>9</v>
      </c>
      <c r="D1721">
        <v>3826</v>
      </c>
      <c r="E1721">
        <v>3826</v>
      </c>
      <c r="F1721">
        <v>2972</v>
      </c>
    </row>
    <row r="1722" spans="1:6" x14ac:dyDescent="0.2">
      <c r="A1722">
        <v>20200806</v>
      </c>
      <c r="B1722" t="s">
        <v>85</v>
      </c>
      <c r="C1722" t="s">
        <v>9</v>
      </c>
      <c r="D1722">
        <v>1139</v>
      </c>
      <c r="E1722">
        <v>844</v>
      </c>
      <c r="F1722">
        <v>437</v>
      </c>
    </row>
    <row r="1723" spans="1:6" x14ac:dyDescent="0.2">
      <c r="A1723">
        <v>20200806</v>
      </c>
      <c r="B1723" t="s">
        <v>126</v>
      </c>
      <c r="C1723" t="s">
        <v>9</v>
      </c>
      <c r="D1723">
        <v>1</v>
      </c>
      <c r="E1723">
        <v>1</v>
      </c>
      <c r="F1723">
        <v>0</v>
      </c>
    </row>
    <row r="1724" spans="1:6" x14ac:dyDescent="0.2">
      <c r="A1724">
        <v>20200806</v>
      </c>
      <c r="B1724" t="s">
        <v>65</v>
      </c>
      <c r="C1724" t="s">
        <v>9</v>
      </c>
      <c r="D1724">
        <v>107</v>
      </c>
      <c r="E1724">
        <v>107</v>
      </c>
      <c r="F1724">
        <v>80</v>
      </c>
    </row>
    <row r="1725" spans="1:6" x14ac:dyDescent="0.2">
      <c r="A1725">
        <v>20200806</v>
      </c>
      <c r="B1725" t="s">
        <v>13</v>
      </c>
      <c r="C1725" t="s">
        <v>7</v>
      </c>
      <c r="D1725">
        <v>135</v>
      </c>
      <c r="E1725">
        <v>135</v>
      </c>
      <c r="F1725">
        <v>85</v>
      </c>
    </row>
    <row r="1726" spans="1:6" x14ac:dyDescent="0.2">
      <c r="A1726">
        <v>20200806</v>
      </c>
      <c r="B1726" t="s">
        <v>13</v>
      </c>
      <c r="C1726" t="s">
        <v>9</v>
      </c>
      <c r="D1726">
        <v>793</v>
      </c>
      <c r="E1726">
        <v>793</v>
      </c>
      <c r="F1726">
        <v>606</v>
      </c>
    </row>
    <row r="1727" spans="1:6" x14ac:dyDescent="0.2">
      <c r="A1727">
        <v>20200806</v>
      </c>
      <c r="B1727" t="s">
        <v>122</v>
      </c>
      <c r="C1727" t="s">
        <v>9</v>
      </c>
      <c r="D1727">
        <v>362</v>
      </c>
      <c r="E1727">
        <v>362</v>
      </c>
      <c r="F1727">
        <v>275</v>
      </c>
    </row>
    <row r="1728" spans="1:6" x14ac:dyDescent="0.2">
      <c r="A1728">
        <v>20200806</v>
      </c>
      <c r="B1728" t="s">
        <v>89</v>
      </c>
      <c r="C1728" t="s">
        <v>9</v>
      </c>
      <c r="D1728">
        <v>1</v>
      </c>
      <c r="E1728">
        <v>1</v>
      </c>
      <c r="F1728">
        <v>0</v>
      </c>
    </row>
    <row r="1729" spans="1:6" x14ac:dyDescent="0.2">
      <c r="A1729">
        <v>20200806</v>
      </c>
      <c r="B1729" t="s">
        <v>32</v>
      </c>
      <c r="C1729" t="s">
        <v>9</v>
      </c>
      <c r="D1729">
        <v>2</v>
      </c>
      <c r="E1729">
        <v>2</v>
      </c>
      <c r="F1729">
        <v>0</v>
      </c>
    </row>
    <row r="1730" spans="1:6" x14ac:dyDescent="0.2">
      <c r="A1730">
        <v>20200806</v>
      </c>
      <c r="B1730" t="s">
        <v>100</v>
      </c>
      <c r="C1730" t="s">
        <v>9</v>
      </c>
      <c r="D1730">
        <v>471</v>
      </c>
      <c r="E1730">
        <v>471</v>
      </c>
      <c r="F1730">
        <v>271</v>
      </c>
    </row>
    <row r="1731" spans="1:6" x14ac:dyDescent="0.2">
      <c r="A1731">
        <v>20200806</v>
      </c>
      <c r="B1731" t="s">
        <v>112</v>
      </c>
      <c r="C1731" t="s">
        <v>9</v>
      </c>
      <c r="D1731">
        <v>1</v>
      </c>
      <c r="E1731">
        <v>1</v>
      </c>
      <c r="F1731">
        <v>0</v>
      </c>
    </row>
    <row r="1732" spans="1:6" x14ac:dyDescent="0.2">
      <c r="A1732">
        <v>20200806</v>
      </c>
      <c r="B1732" t="s">
        <v>26</v>
      </c>
      <c r="C1732" t="s">
        <v>9</v>
      </c>
      <c r="D1732">
        <v>1</v>
      </c>
      <c r="E1732">
        <v>1</v>
      </c>
      <c r="F1732">
        <v>0</v>
      </c>
    </row>
    <row r="1733" spans="1:6" x14ac:dyDescent="0.2">
      <c r="A1733">
        <v>20200806</v>
      </c>
      <c r="B1733" t="s">
        <v>166</v>
      </c>
      <c r="C1733" t="s">
        <v>7</v>
      </c>
      <c r="D1733">
        <v>416</v>
      </c>
      <c r="E1733">
        <v>8</v>
      </c>
      <c r="F1733">
        <v>7</v>
      </c>
    </row>
    <row r="1734" spans="1:6" x14ac:dyDescent="0.2">
      <c r="A1734">
        <v>20200806</v>
      </c>
      <c r="B1734" t="s">
        <v>166</v>
      </c>
      <c r="C1734" t="s">
        <v>9</v>
      </c>
      <c r="D1734">
        <v>448</v>
      </c>
      <c r="E1734">
        <v>13</v>
      </c>
      <c r="F1734">
        <v>12</v>
      </c>
    </row>
    <row r="1735" spans="1:6" x14ac:dyDescent="0.2">
      <c r="A1735">
        <v>20200806</v>
      </c>
      <c r="B1735" t="s">
        <v>59</v>
      </c>
      <c r="C1735" t="s">
        <v>9</v>
      </c>
      <c r="D1735">
        <v>1</v>
      </c>
      <c r="E1735">
        <v>1</v>
      </c>
      <c r="F1735">
        <v>0</v>
      </c>
    </row>
    <row r="1736" spans="1:6" x14ac:dyDescent="0.2">
      <c r="A1736">
        <v>20200806</v>
      </c>
      <c r="B1736" t="s">
        <v>127</v>
      </c>
      <c r="C1736" t="s">
        <v>7</v>
      </c>
      <c r="D1736">
        <v>761</v>
      </c>
      <c r="E1736">
        <v>245</v>
      </c>
      <c r="F1736">
        <v>149</v>
      </c>
    </row>
    <row r="1737" spans="1:6" x14ac:dyDescent="0.2">
      <c r="A1737">
        <v>20200806</v>
      </c>
      <c r="B1737" t="s">
        <v>127</v>
      </c>
      <c r="C1737" t="s">
        <v>9</v>
      </c>
      <c r="D1737">
        <v>746</v>
      </c>
      <c r="E1737">
        <v>176</v>
      </c>
      <c r="F1737">
        <v>117</v>
      </c>
    </row>
    <row r="1738" spans="1:6" x14ac:dyDescent="0.2">
      <c r="A1738">
        <v>20200806</v>
      </c>
      <c r="B1738" t="s">
        <v>29</v>
      </c>
      <c r="C1738" t="s">
        <v>9</v>
      </c>
      <c r="D1738">
        <v>8</v>
      </c>
      <c r="E1738">
        <v>4</v>
      </c>
      <c r="F1738">
        <v>1</v>
      </c>
    </row>
    <row r="1739" spans="1:6" x14ac:dyDescent="0.2">
      <c r="A1739">
        <v>20200806</v>
      </c>
      <c r="B1739" t="s">
        <v>105</v>
      </c>
      <c r="C1739" t="s">
        <v>7</v>
      </c>
      <c r="D1739">
        <v>585</v>
      </c>
      <c r="E1739">
        <v>8</v>
      </c>
      <c r="F1739">
        <v>1</v>
      </c>
    </row>
    <row r="1740" spans="1:6" x14ac:dyDescent="0.2">
      <c r="A1740">
        <v>20200806</v>
      </c>
      <c r="B1740" t="s">
        <v>105</v>
      </c>
      <c r="C1740" t="s">
        <v>9</v>
      </c>
      <c r="D1740">
        <v>598</v>
      </c>
      <c r="E1740">
        <v>22</v>
      </c>
      <c r="F1740">
        <v>11</v>
      </c>
    </row>
    <row r="1741" spans="1:6" x14ac:dyDescent="0.2">
      <c r="A1741">
        <v>20200806</v>
      </c>
      <c r="B1741" t="s">
        <v>106</v>
      </c>
      <c r="C1741" t="s">
        <v>7</v>
      </c>
      <c r="D1741">
        <v>13</v>
      </c>
      <c r="E1741">
        <v>0</v>
      </c>
      <c r="F1741">
        <v>0</v>
      </c>
    </row>
    <row r="1742" spans="1:6" x14ac:dyDescent="0.2">
      <c r="A1742">
        <v>20200806</v>
      </c>
      <c r="B1742" t="s">
        <v>106</v>
      </c>
      <c r="C1742" t="s">
        <v>9</v>
      </c>
      <c r="D1742">
        <v>27</v>
      </c>
      <c r="E1742">
        <v>0</v>
      </c>
      <c r="F1742">
        <v>0</v>
      </c>
    </row>
    <row r="1743" spans="1:6" x14ac:dyDescent="0.2">
      <c r="A1743">
        <v>20200806</v>
      </c>
      <c r="B1743" t="s">
        <v>75</v>
      </c>
      <c r="C1743" t="s">
        <v>9</v>
      </c>
      <c r="D1743">
        <v>493</v>
      </c>
      <c r="E1743">
        <v>493</v>
      </c>
      <c r="F1743">
        <v>300</v>
      </c>
    </row>
    <row r="1744" spans="1:6" x14ac:dyDescent="0.2">
      <c r="A1744">
        <v>20200806</v>
      </c>
      <c r="B1744" t="s">
        <v>148</v>
      </c>
      <c r="C1744" t="s">
        <v>9</v>
      </c>
      <c r="D1744">
        <v>10</v>
      </c>
      <c r="E1744">
        <v>4</v>
      </c>
      <c r="F1744">
        <v>2</v>
      </c>
    </row>
    <row r="1745" spans="1:6" x14ac:dyDescent="0.2">
      <c r="A1745">
        <v>20200806</v>
      </c>
      <c r="B1745" t="s">
        <v>137</v>
      </c>
      <c r="C1745" t="s">
        <v>9</v>
      </c>
      <c r="D1745">
        <v>1</v>
      </c>
      <c r="E1745">
        <v>1</v>
      </c>
      <c r="F1745">
        <v>0</v>
      </c>
    </row>
    <row r="1746" spans="1:6" x14ac:dyDescent="0.2">
      <c r="A1746">
        <v>20200806</v>
      </c>
      <c r="B1746" t="s">
        <v>8</v>
      </c>
      <c r="C1746" t="s">
        <v>9</v>
      </c>
      <c r="D1746">
        <v>1</v>
      </c>
      <c r="E1746">
        <v>1</v>
      </c>
      <c r="F1746">
        <v>0</v>
      </c>
    </row>
    <row r="1747" spans="1:6" x14ac:dyDescent="0.2">
      <c r="A1747">
        <v>20200806</v>
      </c>
      <c r="B1747" t="s">
        <v>103</v>
      </c>
      <c r="C1747" t="s">
        <v>9</v>
      </c>
      <c r="D1747">
        <v>14</v>
      </c>
      <c r="E1747">
        <v>14</v>
      </c>
      <c r="F1747">
        <v>8</v>
      </c>
    </row>
    <row r="1748" spans="1:6" x14ac:dyDescent="0.2">
      <c r="A1748">
        <v>20200806</v>
      </c>
      <c r="B1748" t="s">
        <v>87</v>
      </c>
      <c r="C1748" t="s">
        <v>7</v>
      </c>
      <c r="D1748">
        <v>1677</v>
      </c>
      <c r="E1748">
        <v>1405</v>
      </c>
      <c r="F1748">
        <v>929</v>
      </c>
    </row>
    <row r="1749" spans="1:6" x14ac:dyDescent="0.2">
      <c r="A1749">
        <v>20200806</v>
      </c>
      <c r="B1749" t="s">
        <v>87</v>
      </c>
      <c r="C1749" t="s">
        <v>9</v>
      </c>
      <c r="D1749">
        <v>2401</v>
      </c>
      <c r="E1749">
        <v>1909</v>
      </c>
      <c r="F1749">
        <v>1234</v>
      </c>
    </row>
    <row r="1750" spans="1:6" x14ac:dyDescent="0.2">
      <c r="A1750">
        <v>20200806</v>
      </c>
      <c r="B1750" t="s">
        <v>109</v>
      </c>
      <c r="C1750" t="s">
        <v>9</v>
      </c>
      <c r="D1750">
        <v>1</v>
      </c>
      <c r="E1750">
        <v>1</v>
      </c>
      <c r="F1750">
        <v>0</v>
      </c>
    </row>
    <row r="1751" spans="1:6" x14ac:dyDescent="0.2">
      <c r="A1751">
        <v>20200806</v>
      </c>
      <c r="B1751" t="s">
        <v>60</v>
      </c>
      <c r="C1751" t="s">
        <v>9</v>
      </c>
      <c r="D1751">
        <v>2</v>
      </c>
      <c r="E1751">
        <v>2</v>
      </c>
      <c r="F1751">
        <v>0</v>
      </c>
    </row>
    <row r="1752" spans="1:6" x14ac:dyDescent="0.2">
      <c r="A1752">
        <v>20200806</v>
      </c>
      <c r="B1752" t="s">
        <v>78</v>
      </c>
      <c r="C1752" t="s">
        <v>7</v>
      </c>
      <c r="D1752">
        <v>286</v>
      </c>
      <c r="E1752">
        <v>286</v>
      </c>
      <c r="F1752">
        <v>134</v>
      </c>
    </row>
    <row r="1753" spans="1:6" x14ac:dyDescent="0.2">
      <c r="A1753">
        <v>20200806</v>
      </c>
      <c r="B1753" t="s">
        <v>78</v>
      </c>
      <c r="C1753" t="s">
        <v>9</v>
      </c>
      <c r="D1753">
        <v>129</v>
      </c>
      <c r="E1753">
        <v>129</v>
      </c>
      <c r="F1753">
        <v>75</v>
      </c>
    </row>
    <row r="1754" spans="1:6" x14ac:dyDescent="0.2">
      <c r="A1754">
        <v>20200806</v>
      </c>
      <c r="B1754" t="s">
        <v>83</v>
      </c>
      <c r="C1754" t="s">
        <v>7</v>
      </c>
      <c r="D1754">
        <v>1</v>
      </c>
      <c r="E1754">
        <v>1</v>
      </c>
      <c r="F1754">
        <v>0</v>
      </c>
    </row>
    <row r="1755" spans="1:6" x14ac:dyDescent="0.2">
      <c r="A1755">
        <v>20200806</v>
      </c>
      <c r="B1755" t="s">
        <v>83</v>
      </c>
      <c r="C1755" t="s">
        <v>9</v>
      </c>
      <c r="D1755">
        <v>403</v>
      </c>
      <c r="E1755">
        <v>403</v>
      </c>
      <c r="F1755">
        <v>199</v>
      </c>
    </row>
    <row r="1756" spans="1:6" x14ac:dyDescent="0.2">
      <c r="A1756">
        <v>20200806</v>
      </c>
      <c r="B1756" t="s">
        <v>42</v>
      </c>
      <c r="C1756" t="s">
        <v>9</v>
      </c>
      <c r="D1756">
        <v>1</v>
      </c>
      <c r="E1756">
        <v>1</v>
      </c>
      <c r="F1756">
        <v>0</v>
      </c>
    </row>
    <row r="1757" spans="1:6" x14ac:dyDescent="0.2">
      <c r="A1757">
        <v>20200806</v>
      </c>
      <c r="B1757" t="s">
        <v>125</v>
      </c>
      <c r="C1757" t="s">
        <v>9</v>
      </c>
      <c r="D1757">
        <v>277</v>
      </c>
      <c r="E1757">
        <v>277</v>
      </c>
      <c r="F1757">
        <v>227</v>
      </c>
    </row>
    <row r="1758" spans="1:6" x14ac:dyDescent="0.2">
      <c r="A1758">
        <v>20200806</v>
      </c>
      <c r="B1758" t="s">
        <v>81</v>
      </c>
      <c r="C1758" t="s">
        <v>7</v>
      </c>
      <c r="D1758">
        <v>490</v>
      </c>
      <c r="E1758">
        <v>1</v>
      </c>
      <c r="F1758">
        <v>0</v>
      </c>
    </row>
    <row r="1759" spans="1:6" x14ac:dyDescent="0.2">
      <c r="A1759">
        <v>20200806</v>
      </c>
      <c r="B1759" t="s">
        <v>81</v>
      </c>
      <c r="C1759" t="s">
        <v>9</v>
      </c>
      <c r="D1759">
        <v>476</v>
      </c>
      <c r="E1759">
        <v>1</v>
      </c>
      <c r="F1759">
        <v>0</v>
      </c>
    </row>
    <row r="1760" spans="1:6" x14ac:dyDescent="0.2">
      <c r="A1760">
        <v>20200806</v>
      </c>
      <c r="B1760" t="s">
        <v>107</v>
      </c>
      <c r="C1760" t="s">
        <v>7</v>
      </c>
      <c r="D1760">
        <v>105</v>
      </c>
      <c r="E1760">
        <v>105</v>
      </c>
      <c r="F1760">
        <v>42</v>
      </c>
    </row>
    <row r="1761" spans="1:6" x14ac:dyDescent="0.2">
      <c r="A1761">
        <v>20200806</v>
      </c>
      <c r="B1761" t="s">
        <v>107</v>
      </c>
      <c r="C1761" t="s">
        <v>9</v>
      </c>
      <c r="D1761">
        <v>67</v>
      </c>
      <c r="E1761">
        <v>67</v>
      </c>
      <c r="F1761">
        <v>29</v>
      </c>
    </row>
    <row r="1762" spans="1:6" x14ac:dyDescent="0.2">
      <c r="A1762">
        <v>20200806</v>
      </c>
      <c r="B1762" t="s">
        <v>48</v>
      </c>
      <c r="C1762" t="s">
        <v>7</v>
      </c>
      <c r="D1762">
        <v>2</v>
      </c>
      <c r="E1762">
        <v>2</v>
      </c>
      <c r="F1762">
        <v>1</v>
      </c>
    </row>
    <row r="1763" spans="1:6" x14ac:dyDescent="0.2">
      <c r="A1763">
        <v>20200806</v>
      </c>
      <c r="B1763" t="s">
        <v>48</v>
      </c>
      <c r="C1763" t="s">
        <v>9</v>
      </c>
      <c r="D1763">
        <v>629</v>
      </c>
      <c r="E1763">
        <v>629</v>
      </c>
      <c r="F1763">
        <v>400</v>
      </c>
    </row>
    <row r="1764" spans="1:6" x14ac:dyDescent="0.2">
      <c r="A1764">
        <v>20200806</v>
      </c>
      <c r="B1764" t="s">
        <v>24</v>
      </c>
      <c r="C1764" t="s">
        <v>9</v>
      </c>
      <c r="D1764">
        <v>239</v>
      </c>
      <c r="E1764">
        <v>150</v>
      </c>
      <c r="F1764">
        <v>15</v>
      </c>
    </row>
    <row r="1765" spans="1:6" x14ac:dyDescent="0.2">
      <c r="A1765">
        <v>20200806</v>
      </c>
      <c r="B1765" t="s">
        <v>93</v>
      </c>
      <c r="C1765" t="s">
        <v>7</v>
      </c>
      <c r="D1765">
        <v>548</v>
      </c>
      <c r="E1765">
        <v>548</v>
      </c>
      <c r="F1765">
        <v>398</v>
      </c>
    </row>
    <row r="1766" spans="1:6" x14ac:dyDescent="0.2">
      <c r="A1766">
        <v>20200806</v>
      </c>
      <c r="B1766" t="s">
        <v>93</v>
      </c>
      <c r="C1766" t="s">
        <v>9</v>
      </c>
      <c r="D1766">
        <v>722</v>
      </c>
      <c r="E1766">
        <v>722</v>
      </c>
      <c r="F1766">
        <v>541</v>
      </c>
    </row>
    <row r="1767" spans="1:6" x14ac:dyDescent="0.2">
      <c r="A1767">
        <v>20200806</v>
      </c>
      <c r="B1767" t="s">
        <v>30</v>
      </c>
      <c r="C1767" t="s">
        <v>9</v>
      </c>
      <c r="D1767">
        <v>66</v>
      </c>
      <c r="E1767">
        <v>66</v>
      </c>
      <c r="F1767">
        <v>43</v>
      </c>
    </row>
    <row r="1768" spans="1:6" x14ac:dyDescent="0.2">
      <c r="A1768">
        <v>20200806</v>
      </c>
      <c r="B1768" t="s">
        <v>67</v>
      </c>
      <c r="C1768" t="s">
        <v>9</v>
      </c>
      <c r="D1768">
        <v>1</v>
      </c>
      <c r="E1768">
        <v>1</v>
      </c>
      <c r="F1768">
        <v>0</v>
      </c>
    </row>
    <row r="1769" spans="1:6" x14ac:dyDescent="0.2">
      <c r="A1769">
        <v>20200806</v>
      </c>
      <c r="B1769" t="s">
        <v>22</v>
      </c>
      <c r="C1769" t="s">
        <v>7</v>
      </c>
      <c r="D1769">
        <v>2398</v>
      </c>
      <c r="E1769">
        <v>2398</v>
      </c>
      <c r="F1769">
        <v>1755</v>
      </c>
    </row>
    <row r="1770" spans="1:6" x14ac:dyDescent="0.2">
      <c r="A1770">
        <v>20200806</v>
      </c>
      <c r="B1770" t="s">
        <v>22</v>
      </c>
      <c r="C1770" t="s">
        <v>9</v>
      </c>
      <c r="D1770">
        <v>2255</v>
      </c>
      <c r="E1770">
        <v>2255</v>
      </c>
      <c r="F1770">
        <v>1764</v>
      </c>
    </row>
    <row r="1771" spans="1:6" x14ac:dyDescent="0.2">
      <c r="A1771">
        <v>20200806</v>
      </c>
      <c r="B1771" t="s">
        <v>55</v>
      </c>
      <c r="C1771" t="s">
        <v>9</v>
      </c>
      <c r="D1771">
        <v>1123</v>
      </c>
      <c r="E1771">
        <v>1123</v>
      </c>
      <c r="F1771">
        <v>801</v>
      </c>
    </row>
    <row r="1772" spans="1:6" x14ac:dyDescent="0.2">
      <c r="A1772">
        <v>20200806</v>
      </c>
      <c r="B1772" t="s">
        <v>10</v>
      </c>
      <c r="C1772" t="s">
        <v>9</v>
      </c>
      <c r="D1772">
        <v>1</v>
      </c>
      <c r="E1772">
        <v>1</v>
      </c>
      <c r="F1772">
        <v>0</v>
      </c>
    </row>
    <row r="1773" spans="1:6" x14ac:dyDescent="0.2">
      <c r="A1773">
        <v>20200806</v>
      </c>
      <c r="B1773" t="s">
        <v>111</v>
      </c>
      <c r="C1773" t="s">
        <v>9</v>
      </c>
      <c r="D1773">
        <v>887</v>
      </c>
      <c r="E1773">
        <v>887</v>
      </c>
      <c r="F1773">
        <v>612</v>
      </c>
    </row>
    <row r="1774" spans="1:6" x14ac:dyDescent="0.2">
      <c r="A1774">
        <v>20200806</v>
      </c>
      <c r="B1774" t="s">
        <v>98</v>
      </c>
      <c r="C1774" t="s">
        <v>7</v>
      </c>
      <c r="D1774">
        <v>1</v>
      </c>
      <c r="E1774">
        <v>1</v>
      </c>
      <c r="F1774">
        <v>0</v>
      </c>
    </row>
    <row r="1775" spans="1:6" x14ac:dyDescent="0.2">
      <c r="A1775">
        <v>20200806</v>
      </c>
      <c r="B1775" t="s">
        <v>98</v>
      </c>
      <c r="C1775" t="s">
        <v>9</v>
      </c>
      <c r="D1775">
        <v>9</v>
      </c>
      <c r="E1775">
        <v>6</v>
      </c>
      <c r="F1775">
        <v>0</v>
      </c>
    </row>
    <row r="1776" spans="1:6" x14ac:dyDescent="0.2">
      <c r="A1776">
        <v>20200806</v>
      </c>
      <c r="B1776" t="s">
        <v>110</v>
      </c>
      <c r="C1776" t="s">
        <v>7</v>
      </c>
      <c r="D1776">
        <v>22</v>
      </c>
      <c r="E1776">
        <v>18</v>
      </c>
      <c r="F1776">
        <v>10</v>
      </c>
    </row>
    <row r="1777" spans="1:6" x14ac:dyDescent="0.2">
      <c r="A1777">
        <v>20200806</v>
      </c>
      <c r="B1777" t="s">
        <v>110</v>
      </c>
      <c r="C1777" t="s">
        <v>9</v>
      </c>
      <c r="D1777">
        <v>10</v>
      </c>
      <c r="E1777">
        <v>8</v>
      </c>
      <c r="F1777">
        <v>4</v>
      </c>
    </row>
    <row r="1778" spans="1:6" x14ac:dyDescent="0.2">
      <c r="A1778">
        <v>20200806</v>
      </c>
      <c r="C1778" t="s">
        <v>7</v>
      </c>
      <c r="D1778">
        <v>10034</v>
      </c>
      <c r="E1778">
        <v>0</v>
      </c>
      <c r="F1778">
        <v>0</v>
      </c>
    </row>
    <row r="1779" spans="1:6" x14ac:dyDescent="0.2">
      <c r="A1779">
        <v>20200806</v>
      </c>
      <c r="C1779" t="s">
        <v>9</v>
      </c>
      <c r="D1779">
        <v>12215</v>
      </c>
      <c r="E1779">
        <v>0</v>
      </c>
      <c r="F1779">
        <v>0</v>
      </c>
    </row>
    <row r="1780" spans="1:6" x14ac:dyDescent="0.2">
      <c r="A1780">
        <v>20200807</v>
      </c>
      <c r="B1780" t="s">
        <v>82</v>
      </c>
      <c r="C1780" t="s">
        <v>7</v>
      </c>
      <c r="D1780">
        <v>1254</v>
      </c>
      <c r="E1780">
        <v>1254</v>
      </c>
      <c r="F1780">
        <v>711</v>
      </c>
    </row>
    <row r="1781" spans="1:6" x14ac:dyDescent="0.2">
      <c r="A1781">
        <v>20200807</v>
      </c>
      <c r="B1781" t="s">
        <v>82</v>
      </c>
      <c r="C1781" t="s">
        <v>9</v>
      </c>
      <c r="D1781">
        <v>773</v>
      </c>
      <c r="E1781">
        <v>773</v>
      </c>
      <c r="F1781">
        <v>462</v>
      </c>
    </row>
    <row r="1782" spans="1:6" x14ac:dyDescent="0.2">
      <c r="A1782">
        <v>20200807</v>
      </c>
      <c r="B1782" t="s">
        <v>34</v>
      </c>
      <c r="C1782" t="s">
        <v>7</v>
      </c>
      <c r="D1782">
        <v>38</v>
      </c>
      <c r="E1782">
        <v>26</v>
      </c>
      <c r="F1782">
        <v>13</v>
      </c>
    </row>
    <row r="1783" spans="1:6" x14ac:dyDescent="0.2">
      <c r="A1783">
        <v>20200807</v>
      </c>
      <c r="B1783" t="s">
        <v>34</v>
      </c>
      <c r="C1783" t="s">
        <v>9</v>
      </c>
      <c r="D1783">
        <v>179</v>
      </c>
      <c r="E1783">
        <v>125</v>
      </c>
      <c r="F1783">
        <v>65</v>
      </c>
    </row>
    <row r="1784" spans="1:6" x14ac:dyDescent="0.2">
      <c r="A1784">
        <v>20200807</v>
      </c>
      <c r="B1784" t="s">
        <v>40</v>
      </c>
      <c r="C1784" t="s">
        <v>9</v>
      </c>
      <c r="D1784">
        <v>1</v>
      </c>
      <c r="E1784">
        <v>0</v>
      </c>
      <c r="F1784">
        <v>0</v>
      </c>
    </row>
    <row r="1785" spans="1:6" x14ac:dyDescent="0.2">
      <c r="A1785">
        <v>20200807</v>
      </c>
      <c r="B1785" t="s">
        <v>94</v>
      </c>
      <c r="C1785" t="s">
        <v>9</v>
      </c>
      <c r="D1785">
        <v>40</v>
      </c>
      <c r="E1785">
        <v>40</v>
      </c>
      <c r="F1785">
        <v>27</v>
      </c>
    </row>
    <row r="1786" spans="1:6" x14ac:dyDescent="0.2">
      <c r="A1786">
        <v>20200807</v>
      </c>
      <c r="B1786" t="s">
        <v>45</v>
      </c>
      <c r="C1786" t="s">
        <v>7</v>
      </c>
      <c r="D1786">
        <v>2295</v>
      </c>
      <c r="E1786">
        <v>4</v>
      </c>
      <c r="F1786">
        <v>1</v>
      </c>
    </row>
    <row r="1787" spans="1:6" x14ac:dyDescent="0.2">
      <c r="A1787">
        <v>20200807</v>
      </c>
      <c r="B1787" t="s">
        <v>45</v>
      </c>
      <c r="C1787" t="s">
        <v>9</v>
      </c>
      <c r="D1787">
        <v>2340</v>
      </c>
      <c r="E1787">
        <v>4</v>
      </c>
      <c r="F1787">
        <v>2</v>
      </c>
    </row>
    <row r="1788" spans="1:6" x14ac:dyDescent="0.2">
      <c r="A1788">
        <v>20200807</v>
      </c>
      <c r="B1788" t="s">
        <v>69</v>
      </c>
      <c r="C1788" t="s">
        <v>7</v>
      </c>
      <c r="D1788">
        <v>672</v>
      </c>
      <c r="E1788">
        <v>3</v>
      </c>
      <c r="F1788">
        <v>0</v>
      </c>
    </row>
    <row r="1789" spans="1:6" x14ac:dyDescent="0.2">
      <c r="A1789">
        <v>20200807</v>
      </c>
      <c r="B1789" t="s">
        <v>69</v>
      </c>
      <c r="C1789" t="s">
        <v>9</v>
      </c>
      <c r="D1789">
        <v>689</v>
      </c>
      <c r="E1789">
        <v>2</v>
      </c>
      <c r="F1789">
        <v>1</v>
      </c>
    </row>
    <row r="1790" spans="1:6" x14ac:dyDescent="0.2">
      <c r="A1790">
        <v>20200807</v>
      </c>
      <c r="B1790" t="s">
        <v>123</v>
      </c>
      <c r="C1790" t="s">
        <v>7</v>
      </c>
      <c r="D1790">
        <v>824</v>
      </c>
      <c r="E1790">
        <v>0</v>
      </c>
      <c r="F1790">
        <v>0</v>
      </c>
    </row>
    <row r="1791" spans="1:6" x14ac:dyDescent="0.2">
      <c r="A1791">
        <v>20200807</v>
      </c>
      <c r="B1791" t="s">
        <v>123</v>
      </c>
      <c r="C1791" t="s">
        <v>9</v>
      </c>
      <c r="D1791">
        <v>907</v>
      </c>
      <c r="E1791">
        <v>2</v>
      </c>
      <c r="F1791">
        <v>2</v>
      </c>
    </row>
    <row r="1792" spans="1:6" x14ac:dyDescent="0.2">
      <c r="A1792">
        <v>20200807</v>
      </c>
      <c r="B1792" t="s">
        <v>101</v>
      </c>
      <c r="C1792" t="s">
        <v>7</v>
      </c>
      <c r="D1792">
        <v>1172</v>
      </c>
      <c r="E1792">
        <v>0</v>
      </c>
      <c r="F1792">
        <v>0</v>
      </c>
    </row>
    <row r="1793" spans="1:6" x14ac:dyDescent="0.2">
      <c r="A1793">
        <v>20200807</v>
      </c>
      <c r="B1793" t="s">
        <v>101</v>
      </c>
      <c r="C1793" t="s">
        <v>9</v>
      </c>
      <c r="D1793">
        <v>1249</v>
      </c>
      <c r="E1793">
        <v>4</v>
      </c>
      <c r="F1793">
        <v>3</v>
      </c>
    </row>
    <row r="1794" spans="1:6" x14ac:dyDescent="0.2">
      <c r="A1794">
        <v>20200807</v>
      </c>
      <c r="B1794" t="s">
        <v>11</v>
      </c>
      <c r="C1794" t="s">
        <v>7</v>
      </c>
      <c r="D1794">
        <v>17016</v>
      </c>
      <c r="E1794">
        <v>4</v>
      </c>
      <c r="F1794">
        <v>1</v>
      </c>
    </row>
    <row r="1795" spans="1:6" x14ac:dyDescent="0.2">
      <c r="A1795">
        <v>20200807</v>
      </c>
      <c r="B1795" t="s">
        <v>11</v>
      </c>
      <c r="C1795" t="s">
        <v>9</v>
      </c>
      <c r="D1795">
        <v>16929</v>
      </c>
      <c r="E1795">
        <v>1</v>
      </c>
      <c r="F1795">
        <v>0</v>
      </c>
    </row>
    <row r="1796" spans="1:6" x14ac:dyDescent="0.2">
      <c r="A1796">
        <v>20200807</v>
      </c>
      <c r="B1796" t="s">
        <v>16</v>
      </c>
      <c r="C1796" t="s">
        <v>7</v>
      </c>
      <c r="D1796">
        <v>3232</v>
      </c>
      <c r="E1796">
        <v>3232</v>
      </c>
      <c r="F1796">
        <v>2376</v>
      </c>
    </row>
    <row r="1797" spans="1:6" x14ac:dyDescent="0.2">
      <c r="A1797">
        <v>20200807</v>
      </c>
      <c r="B1797" t="s">
        <v>16</v>
      </c>
      <c r="C1797" t="s">
        <v>9</v>
      </c>
      <c r="D1797">
        <v>1783</v>
      </c>
      <c r="E1797">
        <v>1783</v>
      </c>
      <c r="F1797">
        <v>1351</v>
      </c>
    </row>
    <row r="1798" spans="1:6" x14ac:dyDescent="0.2">
      <c r="A1798">
        <v>20200807</v>
      </c>
      <c r="B1798" t="s">
        <v>120</v>
      </c>
      <c r="C1798" t="s">
        <v>9</v>
      </c>
      <c r="D1798">
        <v>1</v>
      </c>
      <c r="E1798">
        <v>1</v>
      </c>
      <c r="F1798">
        <v>0</v>
      </c>
    </row>
    <row r="1799" spans="1:6" x14ac:dyDescent="0.2">
      <c r="A1799">
        <v>20200807</v>
      </c>
      <c r="B1799" t="s">
        <v>6</v>
      </c>
      <c r="C1799" t="s">
        <v>7</v>
      </c>
      <c r="D1799">
        <v>642</v>
      </c>
      <c r="E1799">
        <v>642</v>
      </c>
      <c r="F1799">
        <v>332</v>
      </c>
    </row>
    <row r="1800" spans="1:6" x14ac:dyDescent="0.2">
      <c r="A1800">
        <v>20200807</v>
      </c>
      <c r="B1800" t="s">
        <v>6</v>
      </c>
      <c r="C1800" t="s">
        <v>9</v>
      </c>
      <c r="D1800">
        <v>3668</v>
      </c>
      <c r="E1800">
        <v>3667</v>
      </c>
      <c r="F1800">
        <v>2182</v>
      </c>
    </row>
    <row r="1801" spans="1:6" x14ac:dyDescent="0.2">
      <c r="A1801">
        <v>20200807</v>
      </c>
      <c r="B1801" t="s">
        <v>41</v>
      </c>
      <c r="C1801" t="s">
        <v>7</v>
      </c>
      <c r="D1801">
        <v>1581</v>
      </c>
      <c r="E1801">
        <v>1054</v>
      </c>
      <c r="F1801">
        <v>491</v>
      </c>
    </row>
    <row r="1802" spans="1:6" x14ac:dyDescent="0.2">
      <c r="A1802">
        <v>20200807</v>
      </c>
      <c r="B1802" t="s">
        <v>41</v>
      </c>
      <c r="C1802" t="s">
        <v>9</v>
      </c>
      <c r="D1802">
        <v>2356</v>
      </c>
      <c r="E1802">
        <v>1862</v>
      </c>
      <c r="F1802">
        <v>1055</v>
      </c>
    </row>
    <row r="1803" spans="1:6" x14ac:dyDescent="0.2">
      <c r="A1803">
        <v>20200807</v>
      </c>
      <c r="B1803" t="s">
        <v>119</v>
      </c>
      <c r="C1803" t="s">
        <v>7</v>
      </c>
      <c r="D1803">
        <v>341</v>
      </c>
      <c r="E1803">
        <v>341</v>
      </c>
      <c r="F1803">
        <v>142</v>
      </c>
    </row>
    <row r="1804" spans="1:6" x14ac:dyDescent="0.2">
      <c r="A1804">
        <v>20200807</v>
      </c>
      <c r="B1804" t="s">
        <v>119</v>
      </c>
      <c r="C1804" t="s">
        <v>9</v>
      </c>
      <c r="D1804">
        <v>1067</v>
      </c>
      <c r="E1804">
        <v>1067</v>
      </c>
      <c r="F1804">
        <v>455</v>
      </c>
    </row>
    <row r="1805" spans="1:6" x14ac:dyDescent="0.2">
      <c r="A1805">
        <v>20200807</v>
      </c>
      <c r="B1805" t="s">
        <v>36</v>
      </c>
      <c r="C1805" t="s">
        <v>9</v>
      </c>
      <c r="D1805">
        <v>926</v>
      </c>
      <c r="E1805">
        <v>640</v>
      </c>
      <c r="F1805">
        <v>171</v>
      </c>
    </row>
    <row r="1806" spans="1:6" x14ac:dyDescent="0.2">
      <c r="A1806">
        <v>20200807</v>
      </c>
      <c r="B1806" t="s">
        <v>27</v>
      </c>
      <c r="C1806" t="s">
        <v>9</v>
      </c>
      <c r="D1806">
        <v>98</v>
      </c>
      <c r="E1806">
        <v>98</v>
      </c>
      <c r="F1806">
        <v>58</v>
      </c>
    </row>
    <row r="1807" spans="1:6" x14ac:dyDescent="0.2">
      <c r="A1807">
        <v>20200807</v>
      </c>
      <c r="B1807" t="s">
        <v>88</v>
      </c>
      <c r="C1807" t="s">
        <v>7</v>
      </c>
      <c r="D1807">
        <v>253</v>
      </c>
      <c r="E1807">
        <v>253</v>
      </c>
      <c r="F1807">
        <v>156</v>
      </c>
    </row>
    <row r="1808" spans="1:6" x14ac:dyDescent="0.2">
      <c r="A1808">
        <v>20200807</v>
      </c>
      <c r="B1808" t="s">
        <v>88</v>
      </c>
      <c r="C1808" t="s">
        <v>9</v>
      </c>
      <c r="D1808">
        <v>1083</v>
      </c>
      <c r="E1808">
        <v>1083</v>
      </c>
      <c r="F1808">
        <v>712</v>
      </c>
    </row>
    <row r="1809" spans="1:6" x14ac:dyDescent="0.2">
      <c r="A1809">
        <v>20200807</v>
      </c>
      <c r="B1809" t="s">
        <v>61</v>
      </c>
      <c r="C1809" t="s">
        <v>9</v>
      </c>
      <c r="D1809">
        <v>1</v>
      </c>
      <c r="E1809">
        <v>1</v>
      </c>
      <c r="F1809">
        <v>0</v>
      </c>
    </row>
    <row r="1810" spans="1:6" x14ac:dyDescent="0.2">
      <c r="A1810">
        <v>20200807</v>
      </c>
      <c r="B1810" t="s">
        <v>20</v>
      </c>
      <c r="C1810" t="s">
        <v>7</v>
      </c>
      <c r="D1810">
        <v>5</v>
      </c>
      <c r="E1810">
        <v>3</v>
      </c>
      <c r="F1810">
        <v>1</v>
      </c>
    </row>
    <row r="1811" spans="1:6" x14ac:dyDescent="0.2">
      <c r="A1811">
        <v>20200807</v>
      </c>
      <c r="B1811" t="s">
        <v>20</v>
      </c>
      <c r="C1811" t="s">
        <v>9</v>
      </c>
      <c r="D1811">
        <v>289</v>
      </c>
      <c r="E1811">
        <v>173</v>
      </c>
      <c r="F1811">
        <v>114</v>
      </c>
    </row>
    <row r="1812" spans="1:6" x14ac:dyDescent="0.2">
      <c r="A1812">
        <v>20200807</v>
      </c>
      <c r="B1812" t="s">
        <v>149</v>
      </c>
      <c r="C1812" t="s">
        <v>7</v>
      </c>
      <c r="D1812">
        <v>19</v>
      </c>
      <c r="E1812">
        <v>16</v>
      </c>
      <c r="F1812">
        <v>0</v>
      </c>
    </row>
    <row r="1813" spans="1:6" x14ac:dyDescent="0.2">
      <c r="A1813">
        <v>20200807</v>
      </c>
      <c r="B1813" t="s">
        <v>149</v>
      </c>
      <c r="C1813" t="s">
        <v>9</v>
      </c>
      <c r="D1813">
        <v>193</v>
      </c>
      <c r="E1813">
        <v>150</v>
      </c>
      <c r="F1813">
        <v>7</v>
      </c>
    </row>
    <row r="1814" spans="1:6" x14ac:dyDescent="0.2">
      <c r="A1814">
        <v>20200807</v>
      </c>
      <c r="B1814" t="s">
        <v>154</v>
      </c>
      <c r="C1814" t="s">
        <v>7</v>
      </c>
      <c r="D1814">
        <v>279</v>
      </c>
      <c r="E1814">
        <v>0</v>
      </c>
      <c r="F1814">
        <v>0</v>
      </c>
    </row>
    <row r="1815" spans="1:6" x14ac:dyDescent="0.2">
      <c r="A1815">
        <v>20200807</v>
      </c>
      <c r="B1815" t="s">
        <v>154</v>
      </c>
      <c r="C1815" t="s">
        <v>9</v>
      </c>
      <c r="D1815">
        <v>330</v>
      </c>
      <c r="E1815">
        <v>0</v>
      </c>
      <c r="F1815">
        <v>0</v>
      </c>
    </row>
    <row r="1816" spans="1:6" x14ac:dyDescent="0.2">
      <c r="A1816">
        <v>20200807</v>
      </c>
      <c r="B1816" t="s">
        <v>38</v>
      </c>
      <c r="C1816" t="s">
        <v>7</v>
      </c>
      <c r="D1816">
        <v>846</v>
      </c>
      <c r="E1816">
        <v>846</v>
      </c>
      <c r="F1816">
        <v>472</v>
      </c>
    </row>
    <row r="1817" spans="1:6" x14ac:dyDescent="0.2">
      <c r="A1817">
        <v>20200807</v>
      </c>
      <c r="B1817" t="s">
        <v>38</v>
      </c>
      <c r="C1817" t="s">
        <v>9</v>
      </c>
      <c r="D1817">
        <v>152</v>
      </c>
      <c r="E1817">
        <v>152</v>
      </c>
      <c r="F1817">
        <v>100</v>
      </c>
    </row>
    <row r="1818" spans="1:6" x14ac:dyDescent="0.2">
      <c r="A1818">
        <v>20200807</v>
      </c>
      <c r="B1818" t="s">
        <v>17</v>
      </c>
      <c r="C1818" t="s">
        <v>7</v>
      </c>
      <c r="D1818">
        <v>298</v>
      </c>
      <c r="E1818">
        <v>2</v>
      </c>
      <c r="F1818">
        <v>1</v>
      </c>
    </row>
    <row r="1819" spans="1:6" x14ac:dyDescent="0.2">
      <c r="A1819">
        <v>20200807</v>
      </c>
      <c r="B1819" t="s">
        <v>17</v>
      </c>
      <c r="C1819" t="s">
        <v>9</v>
      </c>
      <c r="D1819">
        <v>271</v>
      </c>
      <c r="E1819">
        <v>2</v>
      </c>
      <c r="F1819">
        <v>1</v>
      </c>
    </row>
    <row r="1820" spans="1:6" x14ac:dyDescent="0.2">
      <c r="A1820">
        <v>20200807</v>
      </c>
      <c r="B1820" t="s">
        <v>25</v>
      </c>
      <c r="C1820" t="s">
        <v>9</v>
      </c>
      <c r="D1820">
        <v>349</v>
      </c>
      <c r="E1820">
        <v>349</v>
      </c>
      <c r="F1820">
        <v>259</v>
      </c>
    </row>
    <row r="1821" spans="1:6" x14ac:dyDescent="0.2">
      <c r="A1821">
        <v>20200807</v>
      </c>
      <c r="B1821" t="s">
        <v>39</v>
      </c>
      <c r="C1821" t="s">
        <v>7</v>
      </c>
      <c r="D1821">
        <v>1</v>
      </c>
      <c r="E1821">
        <v>1</v>
      </c>
      <c r="F1821">
        <v>1</v>
      </c>
    </row>
    <row r="1822" spans="1:6" x14ac:dyDescent="0.2">
      <c r="A1822">
        <v>20200807</v>
      </c>
      <c r="B1822" t="s">
        <v>66</v>
      </c>
      <c r="C1822" t="s">
        <v>9</v>
      </c>
      <c r="D1822">
        <v>6</v>
      </c>
      <c r="E1822">
        <v>2</v>
      </c>
      <c r="F1822">
        <v>1</v>
      </c>
    </row>
    <row r="1823" spans="1:6" x14ac:dyDescent="0.2">
      <c r="A1823">
        <v>20200807</v>
      </c>
      <c r="B1823" t="s">
        <v>99</v>
      </c>
      <c r="C1823" t="s">
        <v>9</v>
      </c>
      <c r="D1823">
        <v>94</v>
      </c>
      <c r="E1823">
        <v>94</v>
      </c>
      <c r="F1823">
        <v>36</v>
      </c>
    </row>
    <row r="1824" spans="1:6" x14ac:dyDescent="0.2">
      <c r="A1824">
        <v>20200807</v>
      </c>
      <c r="B1824" t="s">
        <v>108</v>
      </c>
      <c r="C1824" t="s">
        <v>7</v>
      </c>
      <c r="D1824">
        <v>3118</v>
      </c>
      <c r="E1824">
        <v>3118</v>
      </c>
      <c r="F1824">
        <v>2019</v>
      </c>
    </row>
    <row r="1825" spans="1:6" x14ac:dyDescent="0.2">
      <c r="A1825">
        <v>20200807</v>
      </c>
      <c r="B1825" t="s">
        <v>108</v>
      </c>
      <c r="C1825" t="s">
        <v>9</v>
      </c>
      <c r="D1825">
        <v>2637</v>
      </c>
      <c r="E1825">
        <v>2637</v>
      </c>
      <c r="F1825">
        <v>1784</v>
      </c>
    </row>
    <row r="1826" spans="1:6" x14ac:dyDescent="0.2">
      <c r="A1826">
        <v>20200807</v>
      </c>
      <c r="B1826" t="s">
        <v>44</v>
      </c>
      <c r="C1826" t="s">
        <v>9</v>
      </c>
      <c r="D1826">
        <v>1</v>
      </c>
      <c r="E1826">
        <v>1</v>
      </c>
      <c r="F1826">
        <v>0</v>
      </c>
    </row>
    <row r="1827" spans="1:6" x14ac:dyDescent="0.2">
      <c r="A1827">
        <v>20200807</v>
      </c>
      <c r="B1827" t="s">
        <v>97</v>
      </c>
      <c r="C1827" t="s">
        <v>9</v>
      </c>
      <c r="D1827">
        <v>1</v>
      </c>
      <c r="E1827">
        <v>1</v>
      </c>
      <c r="F1827">
        <v>0</v>
      </c>
    </row>
    <row r="1828" spans="1:6" x14ac:dyDescent="0.2">
      <c r="A1828">
        <v>20200807</v>
      </c>
      <c r="B1828" t="s">
        <v>76</v>
      </c>
      <c r="C1828" t="s">
        <v>7</v>
      </c>
      <c r="D1828">
        <v>3</v>
      </c>
      <c r="E1828">
        <v>3</v>
      </c>
      <c r="F1828">
        <v>3</v>
      </c>
    </row>
    <row r="1829" spans="1:6" x14ac:dyDescent="0.2">
      <c r="A1829">
        <v>20200807</v>
      </c>
      <c r="B1829" t="s">
        <v>76</v>
      </c>
      <c r="C1829" t="s">
        <v>9</v>
      </c>
      <c r="D1829">
        <v>310</v>
      </c>
      <c r="E1829">
        <v>310</v>
      </c>
      <c r="F1829">
        <v>239</v>
      </c>
    </row>
    <row r="1830" spans="1:6" x14ac:dyDescent="0.2">
      <c r="A1830">
        <v>20200807</v>
      </c>
      <c r="B1830" t="s">
        <v>62</v>
      </c>
      <c r="C1830" t="s">
        <v>9</v>
      </c>
      <c r="D1830">
        <v>70</v>
      </c>
      <c r="E1830">
        <v>57</v>
      </c>
      <c r="F1830">
        <v>33</v>
      </c>
    </row>
    <row r="1831" spans="1:6" x14ac:dyDescent="0.2">
      <c r="A1831">
        <v>20200807</v>
      </c>
      <c r="B1831" t="s">
        <v>158</v>
      </c>
      <c r="C1831" t="s">
        <v>9</v>
      </c>
      <c r="D1831">
        <v>215</v>
      </c>
      <c r="E1831">
        <v>152</v>
      </c>
      <c r="F1831">
        <v>27</v>
      </c>
    </row>
    <row r="1832" spans="1:6" x14ac:dyDescent="0.2">
      <c r="A1832">
        <v>20200807</v>
      </c>
      <c r="B1832" t="s">
        <v>12</v>
      </c>
      <c r="C1832" t="s">
        <v>7</v>
      </c>
      <c r="D1832">
        <v>722</v>
      </c>
      <c r="E1832">
        <v>5</v>
      </c>
      <c r="F1832">
        <v>5</v>
      </c>
    </row>
    <row r="1833" spans="1:6" x14ac:dyDescent="0.2">
      <c r="A1833">
        <v>20200807</v>
      </c>
      <c r="B1833" t="s">
        <v>12</v>
      </c>
      <c r="C1833" t="s">
        <v>9</v>
      </c>
      <c r="D1833">
        <v>701</v>
      </c>
      <c r="E1833">
        <v>10</v>
      </c>
      <c r="F1833">
        <v>10</v>
      </c>
    </row>
    <row r="1834" spans="1:6" x14ac:dyDescent="0.2">
      <c r="A1834">
        <v>20200807</v>
      </c>
      <c r="B1834" t="s">
        <v>53</v>
      </c>
      <c r="C1834" t="s">
        <v>9</v>
      </c>
      <c r="D1834">
        <v>73</v>
      </c>
      <c r="E1834">
        <v>73</v>
      </c>
      <c r="F1834">
        <v>41</v>
      </c>
    </row>
    <row r="1835" spans="1:6" x14ac:dyDescent="0.2">
      <c r="A1835">
        <v>20200807</v>
      </c>
      <c r="B1835" t="s">
        <v>95</v>
      </c>
      <c r="C1835" t="s">
        <v>7</v>
      </c>
      <c r="D1835">
        <v>7</v>
      </c>
      <c r="E1835">
        <v>7</v>
      </c>
      <c r="F1835">
        <v>6</v>
      </c>
    </row>
    <row r="1836" spans="1:6" x14ac:dyDescent="0.2">
      <c r="A1836">
        <v>20200807</v>
      </c>
      <c r="B1836" t="s">
        <v>95</v>
      </c>
      <c r="C1836" t="s">
        <v>9</v>
      </c>
      <c r="D1836">
        <v>60</v>
      </c>
      <c r="E1836">
        <v>60</v>
      </c>
      <c r="F1836">
        <v>37</v>
      </c>
    </row>
    <row r="1837" spans="1:6" x14ac:dyDescent="0.2">
      <c r="A1837">
        <v>20200807</v>
      </c>
      <c r="B1837" t="s">
        <v>64</v>
      </c>
      <c r="C1837" t="s">
        <v>9</v>
      </c>
      <c r="D1837">
        <v>951</v>
      </c>
      <c r="E1837">
        <v>951</v>
      </c>
      <c r="F1837">
        <v>723</v>
      </c>
    </row>
    <row r="1838" spans="1:6" x14ac:dyDescent="0.2">
      <c r="A1838">
        <v>20200807</v>
      </c>
      <c r="B1838" t="s">
        <v>68</v>
      </c>
      <c r="C1838" t="s">
        <v>7</v>
      </c>
      <c r="D1838">
        <v>396</v>
      </c>
      <c r="E1838">
        <v>396</v>
      </c>
      <c r="F1838">
        <v>284</v>
      </c>
    </row>
    <row r="1839" spans="1:6" x14ac:dyDescent="0.2">
      <c r="A1839">
        <v>20200807</v>
      </c>
      <c r="B1839" t="s">
        <v>68</v>
      </c>
      <c r="C1839" t="s">
        <v>9</v>
      </c>
      <c r="D1839">
        <v>2219</v>
      </c>
      <c r="E1839">
        <v>2219</v>
      </c>
      <c r="F1839">
        <v>1665</v>
      </c>
    </row>
    <row r="1840" spans="1:6" x14ac:dyDescent="0.2">
      <c r="A1840">
        <v>20200807</v>
      </c>
      <c r="B1840" t="s">
        <v>85</v>
      </c>
      <c r="C1840" t="s">
        <v>9</v>
      </c>
      <c r="D1840">
        <v>896</v>
      </c>
      <c r="E1840">
        <v>641</v>
      </c>
      <c r="F1840">
        <v>323</v>
      </c>
    </row>
    <row r="1841" spans="1:6" x14ac:dyDescent="0.2">
      <c r="A1841">
        <v>20200807</v>
      </c>
      <c r="B1841" t="s">
        <v>126</v>
      </c>
      <c r="C1841" t="s">
        <v>9</v>
      </c>
      <c r="D1841">
        <v>1</v>
      </c>
      <c r="E1841">
        <v>1</v>
      </c>
      <c r="F1841">
        <v>0</v>
      </c>
    </row>
    <row r="1842" spans="1:6" x14ac:dyDescent="0.2">
      <c r="A1842">
        <v>20200807</v>
      </c>
      <c r="B1842" t="s">
        <v>65</v>
      </c>
      <c r="C1842" t="s">
        <v>9</v>
      </c>
      <c r="D1842">
        <v>87</v>
      </c>
      <c r="E1842">
        <v>87</v>
      </c>
      <c r="F1842">
        <v>67</v>
      </c>
    </row>
    <row r="1843" spans="1:6" x14ac:dyDescent="0.2">
      <c r="A1843">
        <v>20200807</v>
      </c>
      <c r="B1843" t="s">
        <v>13</v>
      </c>
      <c r="C1843" t="s">
        <v>9</v>
      </c>
      <c r="D1843">
        <v>47</v>
      </c>
      <c r="E1843">
        <v>47</v>
      </c>
      <c r="F1843">
        <v>32</v>
      </c>
    </row>
    <row r="1844" spans="1:6" x14ac:dyDescent="0.2">
      <c r="A1844">
        <v>20200807</v>
      </c>
      <c r="B1844" t="s">
        <v>122</v>
      </c>
      <c r="C1844" t="s">
        <v>9</v>
      </c>
      <c r="D1844">
        <v>298</v>
      </c>
      <c r="E1844">
        <v>298</v>
      </c>
      <c r="F1844">
        <v>217</v>
      </c>
    </row>
    <row r="1845" spans="1:6" x14ac:dyDescent="0.2">
      <c r="A1845">
        <v>20200807</v>
      </c>
      <c r="B1845" t="s">
        <v>89</v>
      </c>
      <c r="C1845" t="s">
        <v>9</v>
      </c>
      <c r="D1845">
        <v>1</v>
      </c>
      <c r="E1845">
        <v>1</v>
      </c>
      <c r="F1845">
        <v>0</v>
      </c>
    </row>
    <row r="1846" spans="1:6" x14ac:dyDescent="0.2">
      <c r="A1846">
        <v>20200807</v>
      </c>
      <c r="B1846" t="s">
        <v>32</v>
      </c>
      <c r="C1846" t="s">
        <v>9</v>
      </c>
      <c r="D1846">
        <v>1</v>
      </c>
      <c r="E1846">
        <v>1</v>
      </c>
      <c r="F1846">
        <v>0</v>
      </c>
    </row>
    <row r="1847" spans="1:6" x14ac:dyDescent="0.2">
      <c r="A1847">
        <v>20200807</v>
      </c>
      <c r="B1847" t="s">
        <v>100</v>
      </c>
      <c r="C1847" t="s">
        <v>9</v>
      </c>
      <c r="D1847">
        <v>371</v>
      </c>
      <c r="E1847">
        <v>371</v>
      </c>
      <c r="F1847">
        <v>214</v>
      </c>
    </row>
    <row r="1848" spans="1:6" x14ac:dyDescent="0.2">
      <c r="A1848">
        <v>20200807</v>
      </c>
      <c r="B1848" t="s">
        <v>112</v>
      </c>
      <c r="C1848" t="s">
        <v>9</v>
      </c>
      <c r="D1848">
        <v>1</v>
      </c>
      <c r="E1848">
        <v>1</v>
      </c>
      <c r="F1848">
        <v>0</v>
      </c>
    </row>
    <row r="1849" spans="1:6" x14ac:dyDescent="0.2">
      <c r="A1849">
        <v>20200807</v>
      </c>
      <c r="B1849" t="s">
        <v>26</v>
      </c>
      <c r="C1849" t="s">
        <v>9</v>
      </c>
      <c r="D1849">
        <v>1</v>
      </c>
      <c r="E1849">
        <v>1</v>
      </c>
      <c r="F1849">
        <v>0</v>
      </c>
    </row>
    <row r="1850" spans="1:6" x14ac:dyDescent="0.2">
      <c r="A1850">
        <v>20200807</v>
      </c>
      <c r="B1850" t="s">
        <v>59</v>
      </c>
      <c r="C1850" t="s">
        <v>9</v>
      </c>
      <c r="D1850">
        <v>1</v>
      </c>
      <c r="E1850">
        <v>1</v>
      </c>
      <c r="F1850">
        <v>0</v>
      </c>
    </row>
    <row r="1851" spans="1:6" x14ac:dyDescent="0.2">
      <c r="A1851">
        <v>20200807</v>
      </c>
      <c r="B1851" t="s">
        <v>127</v>
      </c>
      <c r="C1851" t="s">
        <v>7</v>
      </c>
      <c r="D1851">
        <v>1718</v>
      </c>
      <c r="E1851">
        <v>1718</v>
      </c>
      <c r="F1851">
        <v>1162</v>
      </c>
    </row>
    <row r="1852" spans="1:6" x14ac:dyDescent="0.2">
      <c r="A1852">
        <v>20200807</v>
      </c>
      <c r="B1852" t="s">
        <v>127</v>
      </c>
      <c r="C1852" t="s">
        <v>9</v>
      </c>
      <c r="D1852">
        <v>837</v>
      </c>
      <c r="E1852">
        <v>837</v>
      </c>
      <c r="F1852">
        <v>612</v>
      </c>
    </row>
    <row r="1853" spans="1:6" x14ac:dyDescent="0.2">
      <c r="A1853">
        <v>20200807</v>
      </c>
      <c r="B1853" t="s">
        <v>29</v>
      </c>
      <c r="C1853" t="s">
        <v>9</v>
      </c>
      <c r="D1853">
        <v>5</v>
      </c>
      <c r="E1853">
        <v>4</v>
      </c>
      <c r="F1853">
        <v>0</v>
      </c>
    </row>
    <row r="1854" spans="1:6" x14ac:dyDescent="0.2">
      <c r="A1854">
        <v>20200807</v>
      </c>
      <c r="B1854" t="s">
        <v>105</v>
      </c>
      <c r="C1854" t="s">
        <v>7</v>
      </c>
      <c r="D1854">
        <v>597</v>
      </c>
      <c r="E1854">
        <v>1</v>
      </c>
      <c r="F1854">
        <v>1</v>
      </c>
    </row>
    <row r="1855" spans="1:6" x14ac:dyDescent="0.2">
      <c r="A1855">
        <v>20200807</v>
      </c>
      <c r="B1855" t="s">
        <v>105</v>
      </c>
      <c r="C1855" t="s">
        <v>9</v>
      </c>
      <c r="D1855">
        <v>568</v>
      </c>
      <c r="E1855">
        <v>1</v>
      </c>
      <c r="F1855">
        <v>1</v>
      </c>
    </row>
    <row r="1856" spans="1:6" x14ac:dyDescent="0.2">
      <c r="A1856">
        <v>20200807</v>
      </c>
      <c r="B1856" t="s">
        <v>106</v>
      </c>
      <c r="C1856" t="s">
        <v>7</v>
      </c>
      <c r="D1856">
        <v>28</v>
      </c>
      <c r="E1856">
        <v>0</v>
      </c>
      <c r="F1856">
        <v>0</v>
      </c>
    </row>
    <row r="1857" spans="1:6" x14ac:dyDescent="0.2">
      <c r="A1857">
        <v>20200807</v>
      </c>
      <c r="B1857" t="s">
        <v>106</v>
      </c>
      <c r="C1857" t="s">
        <v>9</v>
      </c>
      <c r="D1857">
        <v>22</v>
      </c>
      <c r="E1857">
        <v>0</v>
      </c>
      <c r="F1857">
        <v>0</v>
      </c>
    </row>
    <row r="1858" spans="1:6" x14ac:dyDescent="0.2">
      <c r="A1858">
        <v>20200807</v>
      </c>
      <c r="B1858" t="s">
        <v>75</v>
      </c>
      <c r="C1858" t="s">
        <v>9</v>
      </c>
      <c r="D1858">
        <v>552</v>
      </c>
      <c r="E1858">
        <v>552</v>
      </c>
      <c r="F1858">
        <v>372</v>
      </c>
    </row>
    <row r="1859" spans="1:6" x14ac:dyDescent="0.2">
      <c r="A1859">
        <v>20200807</v>
      </c>
      <c r="B1859" t="s">
        <v>148</v>
      </c>
      <c r="C1859" t="s">
        <v>9</v>
      </c>
      <c r="D1859">
        <v>3</v>
      </c>
      <c r="E1859">
        <v>3</v>
      </c>
      <c r="F1859">
        <v>0</v>
      </c>
    </row>
    <row r="1860" spans="1:6" x14ac:dyDescent="0.2">
      <c r="A1860">
        <v>20200807</v>
      </c>
      <c r="B1860" t="s">
        <v>137</v>
      </c>
      <c r="C1860" t="s">
        <v>9</v>
      </c>
      <c r="D1860">
        <v>1</v>
      </c>
      <c r="E1860">
        <v>1</v>
      </c>
      <c r="F1860">
        <v>0</v>
      </c>
    </row>
    <row r="1861" spans="1:6" x14ac:dyDescent="0.2">
      <c r="A1861">
        <v>20200807</v>
      </c>
      <c r="B1861" t="s">
        <v>8</v>
      </c>
      <c r="C1861" t="s">
        <v>9</v>
      </c>
      <c r="D1861">
        <v>1</v>
      </c>
      <c r="E1861">
        <v>1</v>
      </c>
      <c r="F1861">
        <v>0</v>
      </c>
    </row>
    <row r="1862" spans="1:6" x14ac:dyDescent="0.2">
      <c r="A1862">
        <v>20200807</v>
      </c>
      <c r="B1862" t="s">
        <v>87</v>
      </c>
      <c r="C1862" t="s">
        <v>7</v>
      </c>
      <c r="D1862">
        <v>1275</v>
      </c>
      <c r="E1862">
        <v>1027</v>
      </c>
      <c r="F1862">
        <v>687</v>
      </c>
    </row>
    <row r="1863" spans="1:6" x14ac:dyDescent="0.2">
      <c r="A1863">
        <v>20200807</v>
      </c>
      <c r="B1863" t="s">
        <v>87</v>
      </c>
      <c r="C1863" t="s">
        <v>9</v>
      </c>
      <c r="D1863">
        <v>2509</v>
      </c>
      <c r="E1863">
        <v>2012</v>
      </c>
      <c r="F1863">
        <v>1241</v>
      </c>
    </row>
    <row r="1864" spans="1:6" x14ac:dyDescent="0.2">
      <c r="A1864">
        <v>20200807</v>
      </c>
      <c r="B1864" t="s">
        <v>109</v>
      </c>
      <c r="C1864" t="s">
        <v>9</v>
      </c>
      <c r="D1864">
        <v>1</v>
      </c>
      <c r="E1864">
        <v>1</v>
      </c>
      <c r="F1864">
        <v>0</v>
      </c>
    </row>
    <row r="1865" spans="1:6" x14ac:dyDescent="0.2">
      <c r="A1865">
        <v>20200807</v>
      </c>
      <c r="B1865" t="s">
        <v>60</v>
      </c>
      <c r="C1865" t="s">
        <v>9</v>
      </c>
      <c r="D1865">
        <v>1</v>
      </c>
      <c r="E1865">
        <v>1</v>
      </c>
      <c r="F1865">
        <v>0</v>
      </c>
    </row>
    <row r="1866" spans="1:6" x14ac:dyDescent="0.2">
      <c r="A1866">
        <v>20200807</v>
      </c>
      <c r="B1866" t="s">
        <v>78</v>
      </c>
      <c r="C1866" t="s">
        <v>7</v>
      </c>
      <c r="D1866">
        <v>1</v>
      </c>
      <c r="E1866">
        <v>1</v>
      </c>
      <c r="F1866">
        <v>1</v>
      </c>
    </row>
    <row r="1867" spans="1:6" x14ac:dyDescent="0.2">
      <c r="A1867">
        <v>20200807</v>
      </c>
      <c r="B1867" t="s">
        <v>78</v>
      </c>
      <c r="C1867" t="s">
        <v>9</v>
      </c>
      <c r="D1867">
        <v>74</v>
      </c>
      <c r="E1867">
        <v>74</v>
      </c>
      <c r="F1867">
        <v>41</v>
      </c>
    </row>
    <row r="1868" spans="1:6" x14ac:dyDescent="0.2">
      <c r="A1868">
        <v>20200807</v>
      </c>
      <c r="B1868" t="s">
        <v>83</v>
      </c>
      <c r="C1868" t="s">
        <v>9</v>
      </c>
      <c r="D1868">
        <v>157</v>
      </c>
      <c r="E1868">
        <v>157</v>
      </c>
      <c r="F1868">
        <v>75</v>
      </c>
    </row>
    <row r="1869" spans="1:6" x14ac:dyDescent="0.2">
      <c r="A1869">
        <v>20200807</v>
      </c>
      <c r="B1869" t="s">
        <v>42</v>
      </c>
      <c r="C1869" t="s">
        <v>9</v>
      </c>
      <c r="D1869">
        <v>1</v>
      </c>
      <c r="E1869">
        <v>1</v>
      </c>
      <c r="F1869">
        <v>0</v>
      </c>
    </row>
    <row r="1870" spans="1:6" x14ac:dyDescent="0.2">
      <c r="A1870">
        <v>20200807</v>
      </c>
      <c r="B1870" t="s">
        <v>125</v>
      </c>
      <c r="C1870" t="s">
        <v>9</v>
      </c>
      <c r="D1870">
        <v>231</v>
      </c>
      <c r="E1870">
        <v>231</v>
      </c>
      <c r="F1870">
        <v>165</v>
      </c>
    </row>
    <row r="1871" spans="1:6" x14ac:dyDescent="0.2">
      <c r="A1871">
        <v>20200807</v>
      </c>
      <c r="B1871" t="s">
        <v>81</v>
      </c>
      <c r="C1871" t="s">
        <v>7</v>
      </c>
      <c r="D1871">
        <v>407</v>
      </c>
      <c r="E1871">
        <v>2</v>
      </c>
      <c r="F1871">
        <v>1</v>
      </c>
    </row>
    <row r="1872" spans="1:6" x14ac:dyDescent="0.2">
      <c r="A1872">
        <v>20200807</v>
      </c>
      <c r="B1872" t="s">
        <v>81</v>
      </c>
      <c r="C1872" t="s">
        <v>9</v>
      </c>
      <c r="D1872">
        <v>456</v>
      </c>
      <c r="E1872">
        <v>1</v>
      </c>
      <c r="F1872">
        <v>1</v>
      </c>
    </row>
    <row r="1873" spans="1:6" x14ac:dyDescent="0.2">
      <c r="A1873">
        <v>20200807</v>
      </c>
      <c r="B1873" t="s">
        <v>107</v>
      </c>
      <c r="C1873" t="s">
        <v>7</v>
      </c>
      <c r="D1873">
        <v>5</v>
      </c>
      <c r="E1873">
        <v>5</v>
      </c>
      <c r="F1873">
        <v>1</v>
      </c>
    </row>
    <row r="1874" spans="1:6" x14ac:dyDescent="0.2">
      <c r="A1874">
        <v>20200807</v>
      </c>
      <c r="B1874" t="s">
        <v>107</v>
      </c>
      <c r="C1874" t="s">
        <v>9</v>
      </c>
      <c r="D1874">
        <v>21</v>
      </c>
      <c r="E1874">
        <v>21</v>
      </c>
      <c r="F1874">
        <v>10</v>
      </c>
    </row>
    <row r="1875" spans="1:6" x14ac:dyDescent="0.2">
      <c r="A1875">
        <v>20200807</v>
      </c>
      <c r="B1875" t="s">
        <v>48</v>
      </c>
      <c r="C1875" t="s">
        <v>9</v>
      </c>
      <c r="D1875">
        <v>1</v>
      </c>
      <c r="E1875">
        <v>1</v>
      </c>
      <c r="F1875">
        <v>1</v>
      </c>
    </row>
    <row r="1876" spans="1:6" x14ac:dyDescent="0.2">
      <c r="A1876">
        <v>20200807</v>
      </c>
      <c r="B1876" t="s">
        <v>24</v>
      </c>
      <c r="C1876" t="s">
        <v>9</v>
      </c>
      <c r="D1876">
        <v>164</v>
      </c>
      <c r="E1876">
        <v>109</v>
      </c>
      <c r="F1876">
        <v>9</v>
      </c>
    </row>
    <row r="1877" spans="1:6" x14ac:dyDescent="0.2">
      <c r="A1877">
        <v>20200807</v>
      </c>
      <c r="B1877" t="s">
        <v>93</v>
      </c>
      <c r="C1877" t="s">
        <v>7</v>
      </c>
      <c r="D1877">
        <v>48</v>
      </c>
      <c r="E1877">
        <v>48</v>
      </c>
      <c r="F1877">
        <v>29</v>
      </c>
    </row>
    <row r="1878" spans="1:6" x14ac:dyDescent="0.2">
      <c r="A1878">
        <v>20200807</v>
      </c>
      <c r="B1878" t="s">
        <v>93</v>
      </c>
      <c r="C1878" t="s">
        <v>9</v>
      </c>
      <c r="D1878">
        <v>522</v>
      </c>
      <c r="E1878">
        <v>522</v>
      </c>
      <c r="F1878">
        <v>356</v>
      </c>
    </row>
    <row r="1879" spans="1:6" x14ac:dyDescent="0.2">
      <c r="A1879">
        <v>20200807</v>
      </c>
      <c r="B1879" t="s">
        <v>30</v>
      </c>
      <c r="C1879" t="s">
        <v>9</v>
      </c>
      <c r="D1879">
        <v>68</v>
      </c>
      <c r="E1879">
        <v>68</v>
      </c>
      <c r="F1879">
        <v>46</v>
      </c>
    </row>
    <row r="1880" spans="1:6" x14ac:dyDescent="0.2">
      <c r="A1880">
        <v>20200807</v>
      </c>
      <c r="B1880" t="s">
        <v>67</v>
      </c>
      <c r="C1880" t="s">
        <v>9</v>
      </c>
      <c r="D1880">
        <v>1</v>
      </c>
      <c r="E1880">
        <v>1</v>
      </c>
      <c r="F1880">
        <v>0</v>
      </c>
    </row>
    <row r="1881" spans="1:6" x14ac:dyDescent="0.2">
      <c r="A1881">
        <v>20200807</v>
      </c>
      <c r="B1881" t="s">
        <v>22</v>
      </c>
      <c r="C1881" t="s">
        <v>7</v>
      </c>
      <c r="D1881">
        <v>1198</v>
      </c>
      <c r="E1881">
        <v>1198</v>
      </c>
      <c r="F1881">
        <v>872</v>
      </c>
    </row>
    <row r="1882" spans="1:6" x14ac:dyDescent="0.2">
      <c r="A1882">
        <v>20200807</v>
      </c>
      <c r="B1882" t="s">
        <v>22</v>
      </c>
      <c r="C1882" t="s">
        <v>9</v>
      </c>
      <c r="D1882">
        <v>1808</v>
      </c>
      <c r="E1882">
        <v>1808</v>
      </c>
      <c r="F1882">
        <v>1381</v>
      </c>
    </row>
    <row r="1883" spans="1:6" x14ac:dyDescent="0.2">
      <c r="A1883">
        <v>20200807</v>
      </c>
      <c r="B1883" t="s">
        <v>55</v>
      </c>
      <c r="C1883" t="s">
        <v>7</v>
      </c>
      <c r="D1883">
        <v>1</v>
      </c>
      <c r="E1883">
        <v>1</v>
      </c>
      <c r="F1883">
        <v>1</v>
      </c>
    </row>
    <row r="1884" spans="1:6" x14ac:dyDescent="0.2">
      <c r="A1884">
        <v>20200807</v>
      </c>
      <c r="B1884" t="s">
        <v>55</v>
      </c>
      <c r="C1884" t="s">
        <v>9</v>
      </c>
      <c r="D1884">
        <v>987</v>
      </c>
      <c r="E1884">
        <v>987</v>
      </c>
      <c r="F1884">
        <v>691</v>
      </c>
    </row>
    <row r="1885" spans="1:6" x14ac:dyDescent="0.2">
      <c r="A1885">
        <v>20200807</v>
      </c>
      <c r="B1885" t="s">
        <v>10</v>
      </c>
      <c r="C1885" t="s">
        <v>9</v>
      </c>
      <c r="D1885">
        <v>1</v>
      </c>
      <c r="E1885">
        <v>1</v>
      </c>
      <c r="F1885">
        <v>0</v>
      </c>
    </row>
    <row r="1886" spans="1:6" x14ac:dyDescent="0.2">
      <c r="A1886">
        <v>20200807</v>
      </c>
      <c r="B1886" t="s">
        <v>111</v>
      </c>
      <c r="C1886" t="s">
        <v>9</v>
      </c>
      <c r="D1886">
        <v>711</v>
      </c>
      <c r="E1886">
        <v>711</v>
      </c>
      <c r="F1886">
        <v>470</v>
      </c>
    </row>
    <row r="1887" spans="1:6" x14ac:dyDescent="0.2">
      <c r="A1887">
        <v>20200807</v>
      </c>
      <c r="B1887" t="s">
        <v>98</v>
      </c>
      <c r="C1887" t="s">
        <v>7</v>
      </c>
      <c r="D1887">
        <v>301</v>
      </c>
      <c r="E1887">
        <v>213</v>
      </c>
      <c r="F1887">
        <v>119</v>
      </c>
    </row>
    <row r="1888" spans="1:6" x14ac:dyDescent="0.2">
      <c r="A1888">
        <v>20200807</v>
      </c>
      <c r="B1888" t="s">
        <v>98</v>
      </c>
      <c r="C1888" t="s">
        <v>9</v>
      </c>
      <c r="D1888">
        <v>679</v>
      </c>
      <c r="E1888">
        <v>450</v>
      </c>
      <c r="F1888">
        <v>211</v>
      </c>
    </row>
    <row r="1889" spans="1:6" x14ac:dyDescent="0.2">
      <c r="A1889">
        <v>20200807</v>
      </c>
      <c r="C1889" t="s">
        <v>7</v>
      </c>
      <c r="D1889">
        <v>8763</v>
      </c>
      <c r="E1889">
        <v>0</v>
      </c>
      <c r="F1889">
        <v>0</v>
      </c>
    </row>
    <row r="1890" spans="1:6" x14ac:dyDescent="0.2">
      <c r="A1890">
        <v>20200807</v>
      </c>
      <c r="C1890" t="s">
        <v>9</v>
      </c>
      <c r="D1890">
        <v>11178</v>
      </c>
      <c r="E1890">
        <v>0</v>
      </c>
      <c r="F1890">
        <v>0</v>
      </c>
    </row>
    <row r="1891" spans="1:6" x14ac:dyDescent="0.2">
      <c r="A1891">
        <v>20200808</v>
      </c>
      <c r="B1891" t="s">
        <v>82</v>
      </c>
      <c r="C1891" t="s">
        <v>7</v>
      </c>
      <c r="D1891">
        <v>1552</v>
      </c>
      <c r="E1891">
        <v>1552</v>
      </c>
      <c r="F1891">
        <v>921</v>
      </c>
    </row>
    <row r="1892" spans="1:6" x14ac:dyDescent="0.2">
      <c r="A1892">
        <v>20200808</v>
      </c>
      <c r="B1892" t="s">
        <v>82</v>
      </c>
      <c r="C1892" t="s">
        <v>9</v>
      </c>
      <c r="D1892">
        <v>851</v>
      </c>
      <c r="E1892">
        <v>851</v>
      </c>
      <c r="F1892">
        <v>533</v>
      </c>
    </row>
    <row r="1893" spans="1:6" x14ac:dyDescent="0.2">
      <c r="A1893">
        <v>20200808</v>
      </c>
      <c r="B1893" t="s">
        <v>34</v>
      </c>
      <c r="C1893" t="s">
        <v>7</v>
      </c>
      <c r="D1893">
        <v>4</v>
      </c>
      <c r="E1893">
        <v>2</v>
      </c>
      <c r="F1893">
        <v>1</v>
      </c>
    </row>
    <row r="1894" spans="1:6" x14ac:dyDescent="0.2">
      <c r="A1894">
        <v>20200808</v>
      </c>
      <c r="B1894" t="s">
        <v>34</v>
      </c>
      <c r="C1894" t="s">
        <v>9</v>
      </c>
      <c r="D1894">
        <v>242</v>
      </c>
      <c r="E1894">
        <v>140</v>
      </c>
      <c r="F1894">
        <v>62</v>
      </c>
    </row>
    <row r="1895" spans="1:6" x14ac:dyDescent="0.2">
      <c r="A1895">
        <v>20200808</v>
      </c>
      <c r="B1895" t="s">
        <v>94</v>
      </c>
      <c r="C1895" t="s">
        <v>9</v>
      </c>
      <c r="D1895">
        <v>47</v>
      </c>
      <c r="E1895">
        <v>47</v>
      </c>
      <c r="F1895">
        <v>28</v>
      </c>
    </row>
    <row r="1896" spans="1:6" x14ac:dyDescent="0.2">
      <c r="A1896">
        <v>20200808</v>
      </c>
      <c r="B1896" t="s">
        <v>45</v>
      </c>
      <c r="C1896" t="s">
        <v>7</v>
      </c>
      <c r="D1896">
        <v>2</v>
      </c>
      <c r="E1896">
        <v>1</v>
      </c>
      <c r="F1896">
        <v>0</v>
      </c>
    </row>
    <row r="1897" spans="1:6" x14ac:dyDescent="0.2">
      <c r="A1897">
        <v>20200808</v>
      </c>
      <c r="B1897" t="s">
        <v>11</v>
      </c>
      <c r="C1897" t="s">
        <v>7</v>
      </c>
      <c r="D1897">
        <v>11262</v>
      </c>
      <c r="E1897">
        <v>3</v>
      </c>
      <c r="F1897">
        <v>2</v>
      </c>
    </row>
    <row r="1898" spans="1:6" x14ac:dyDescent="0.2">
      <c r="A1898">
        <v>20200808</v>
      </c>
      <c r="B1898" t="s">
        <v>11</v>
      </c>
      <c r="C1898" t="s">
        <v>9</v>
      </c>
      <c r="D1898">
        <v>11330</v>
      </c>
      <c r="E1898">
        <v>1</v>
      </c>
      <c r="F1898">
        <v>0</v>
      </c>
    </row>
    <row r="1899" spans="1:6" x14ac:dyDescent="0.2">
      <c r="A1899">
        <v>20200808</v>
      </c>
      <c r="B1899" t="s">
        <v>16</v>
      </c>
      <c r="C1899" t="s">
        <v>7</v>
      </c>
      <c r="D1899">
        <v>1727</v>
      </c>
      <c r="E1899">
        <v>1727</v>
      </c>
      <c r="F1899">
        <v>1203</v>
      </c>
    </row>
    <row r="1900" spans="1:6" x14ac:dyDescent="0.2">
      <c r="A1900">
        <v>20200808</v>
      </c>
      <c r="B1900" t="s">
        <v>16</v>
      </c>
      <c r="C1900" t="s">
        <v>9</v>
      </c>
      <c r="D1900">
        <v>1008</v>
      </c>
      <c r="E1900">
        <v>1008</v>
      </c>
      <c r="F1900">
        <v>730</v>
      </c>
    </row>
    <row r="1901" spans="1:6" x14ac:dyDescent="0.2">
      <c r="A1901">
        <v>20200808</v>
      </c>
      <c r="B1901" t="s">
        <v>120</v>
      </c>
      <c r="C1901" t="s">
        <v>9</v>
      </c>
      <c r="D1901">
        <v>8</v>
      </c>
      <c r="E1901">
        <v>8</v>
      </c>
      <c r="F1901">
        <v>0</v>
      </c>
    </row>
    <row r="1902" spans="1:6" x14ac:dyDescent="0.2">
      <c r="A1902">
        <v>20200808</v>
      </c>
      <c r="B1902" t="s">
        <v>6</v>
      </c>
      <c r="C1902" t="s">
        <v>7</v>
      </c>
      <c r="D1902">
        <v>268</v>
      </c>
      <c r="E1902">
        <v>268</v>
      </c>
      <c r="F1902">
        <v>142</v>
      </c>
    </row>
    <row r="1903" spans="1:6" x14ac:dyDescent="0.2">
      <c r="A1903">
        <v>20200808</v>
      </c>
      <c r="B1903" t="s">
        <v>6</v>
      </c>
      <c r="C1903" t="s">
        <v>9</v>
      </c>
      <c r="D1903">
        <v>1414</v>
      </c>
      <c r="E1903">
        <v>1414</v>
      </c>
      <c r="F1903">
        <v>837</v>
      </c>
    </row>
    <row r="1904" spans="1:6" x14ac:dyDescent="0.2">
      <c r="A1904">
        <v>20200808</v>
      </c>
      <c r="B1904" t="s">
        <v>41</v>
      </c>
      <c r="C1904" t="s">
        <v>7</v>
      </c>
      <c r="D1904">
        <v>2605</v>
      </c>
      <c r="E1904">
        <v>1532</v>
      </c>
      <c r="F1904">
        <v>809</v>
      </c>
    </row>
    <row r="1905" spans="1:6" x14ac:dyDescent="0.2">
      <c r="A1905">
        <v>20200808</v>
      </c>
      <c r="B1905" t="s">
        <v>41</v>
      </c>
      <c r="C1905" t="s">
        <v>9</v>
      </c>
      <c r="D1905">
        <v>3469</v>
      </c>
      <c r="E1905">
        <v>2333</v>
      </c>
      <c r="F1905">
        <v>1430</v>
      </c>
    </row>
    <row r="1906" spans="1:6" x14ac:dyDescent="0.2">
      <c r="A1906">
        <v>20200808</v>
      </c>
      <c r="B1906" t="s">
        <v>119</v>
      </c>
      <c r="C1906" t="s">
        <v>7</v>
      </c>
      <c r="D1906">
        <v>237</v>
      </c>
      <c r="E1906">
        <v>237</v>
      </c>
      <c r="F1906">
        <v>112</v>
      </c>
    </row>
    <row r="1907" spans="1:6" x14ac:dyDescent="0.2">
      <c r="A1907">
        <v>20200808</v>
      </c>
      <c r="B1907" t="s">
        <v>119</v>
      </c>
      <c r="C1907" t="s">
        <v>9</v>
      </c>
      <c r="D1907">
        <v>512</v>
      </c>
      <c r="E1907">
        <v>512</v>
      </c>
      <c r="F1907">
        <v>248</v>
      </c>
    </row>
    <row r="1908" spans="1:6" x14ac:dyDescent="0.2">
      <c r="A1908">
        <v>20200808</v>
      </c>
      <c r="B1908" t="s">
        <v>36</v>
      </c>
      <c r="C1908" t="s">
        <v>7</v>
      </c>
      <c r="D1908">
        <v>1</v>
      </c>
      <c r="E1908">
        <v>0</v>
      </c>
      <c r="F1908">
        <v>0</v>
      </c>
    </row>
    <row r="1909" spans="1:6" x14ac:dyDescent="0.2">
      <c r="A1909">
        <v>20200808</v>
      </c>
      <c r="B1909" t="s">
        <v>36</v>
      </c>
      <c r="C1909" t="s">
        <v>9</v>
      </c>
      <c r="D1909">
        <v>6</v>
      </c>
      <c r="E1909">
        <v>4</v>
      </c>
      <c r="F1909">
        <v>2</v>
      </c>
    </row>
    <row r="1910" spans="1:6" x14ac:dyDescent="0.2">
      <c r="A1910">
        <v>20200808</v>
      </c>
      <c r="B1910" t="s">
        <v>27</v>
      </c>
      <c r="C1910" t="s">
        <v>7</v>
      </c>
      <c r="D1910">
        <v>1</v>
      </c>
      <c r="E1910">
        <v>1</v>
      </c>
      <c r="F1910">
        <v>0</v>
      </c>
    </row>
    <row r="1911" spans="1:6" x14ac:dyDescent="0.2">
      <c r="A1911">
        <v>20200808</v>
      </c>
      <c r="B1911" t="s">
        <v>27</v>
      </c>
      <c r="C1911" t="s">
        <v>9</v>
      </c>
      <c r="D1911">
        <v>106</v>
      </c>
      <c r="E1911">
        <v>106</v>
      </c>
      <c r="F1911">
        <v>57</v>
      </c>
    </row>
    <row r="1912" spans="1:6" x14ac:dyDescent="0.2">
      <c r="A1912">
        <v>20200808</v>
      </c>
      <c r="B1912" t="s">
        <v>88</v>
      </c>
      <c r="C1912" t="s">
        <v>7</v>
      </c>
      <c r="D1912">
        <v>1</v>
      </c>
      <c r="E1912">
        <v>1</v>
      </c>
      <c r="F1912">
        <v>0</v>
      </c>
    </row>
    <row r="1913" spans="1:6" x14ac:dyDescent="0.2">
      <c r="A1913">
        <v>20200808</v>
      </c>
      <c r="B1913" t="s">
        <v>88</v>
      </c>
      <c r="C1913" t="s">
        <v>9</v>
      </c>
      <c r="D1913">
        <v>1057</v>
      </c>
      <c r="E1913">
        <v>1057</v>
      </c>
      <c r="F1913">
        <v>735</v>
      </c>
    </row>
    <row r="1914" spans="1:6" x14ac:dyDescent="0.2">
      <c r="A1914">
        <v>20200808</v>
      </c>
      <c r="B1914" t="s">
        <v>61</v>
      </c>
      <c r="C1914" t="s">
        <v>9</v>
      </c>
      <c r="D1914">
        <v>8</v>
      </c>
      <c r="E1914">
        <v>8</v>
      </c>
      <c r="F1914">
        <v>0</v>
      </c>
    </row>
    <row r="1915" spans="1:6" x14ac:dyDescent="0.2">
      <c r="A1915">
        <v>20200808</v>
      </c>
      <c r="B1915" t="s">
        <v>20</v>
      </c>
      <c r="C1915" t="s">
        <v>7</v>
      </c>
      <c r="D1915">
        <v>239</v>
      </c>
      <c r="E1915">
        <v>141</v>
      </c>
      <c r="F1915">
        <v>95</v>
      </c>
    </row>
    <row r="1916" spans="1:6" x14ac:dyDescent="0.2">
      <c r="A1916">
        <v>20200808</v>
      </c>
      <c r="B1916" t="s">
        <v>20</v>
      </c>
      <c r="C1916" t="s">
        <v>9</v>
      </c>
      <c r="D1916">
        <v>205</v>
      </c>
      <c r="E1916">
        <v>129</v>
      </c>
      <c r="F1916">
        <v>71</v>
      </c>
    </row>
    <row r="1917" spans="1:6" x14ac:dyDescent="0.2">
      <c r="A1917">
        <v>20200808</v>
      </c>
      <c r="B1917" t="s">
        <v>149</v>
      </c>
      <c r="C1917" t="s">
        <v>9</v>
      </c>
      <c r="D1917">
        <v>1597</v>
      </c>
      <c r="E1917">
        <v>1252</v>
      </c>
      <c r="F1917">
        <v>525</v>
      </c>
    </row>
    <row r="1918" spans="1:6" x14ac:dyDescent="0.2">
      <c r="A1918">
        <v>20200808</v>
      </c>
      <c r="B1918" t="s">
        <v>154</v>
      </c>
      <c r="C1918" t="s">
        <v>7</v>
      </c>
      <c r="D1918">
        <v>1501</v>
      </c>
      <c r="E1918">
        <v>0</v>
      </c>
      <c r="F1918">
        <v>0</v>
      </c>
    </row>
    <row r="1919" spans="1:6" x14ac:dyDescent="0.2">
      <c r="A1919">
        <v>20200808</v>
      </c>
      <c r="B1919" t="s">
        <v>154</v>
      </c>
      <c r="C1919" t="s">
        <v>9</v>
      </c>
      <c r="D1919">
        <v>1375</v>
      </c>
      <c r="E1919">
        <v>0</v>
      </c>
      <c r="F1919">
        <v>0</v>
      </c>
    </row>
    <row r="1920" spans="1:6" x14ac:dyDescent="0.2">
      <c r="A1920">
        <v>20200808</v>
      </c>
      <c r="B1920" t="s">
        <v>38</v>
      </c>
      <c r="C1920" t="s">
        <v>7</v>
      </c>
      <c r="D1920">
        <v>1047</v>
      </c>
      <c r="E1920">
        <v>1047</v>
      </c>
      <c r="F1920">
        <v>545</v>
      </c>
    </row>
    <row r="1921" spans="1:6" x14ac:dyDescent="0.2">
      <c r="A1921">
        <v>20200808</v>
      </c>
      <c r="B1921" t="s">
        <v>38</v>
      </c>
      <c r="C1921" t="s">
        <v>9</v>
      </c>
      <c r="D1921">
        <v>338</v>
      </c>
      <c r="E1921">
        <v>338</v>
      </c>
      <c r="F1921">
        <v>181</v>
      </c>
    </row>
    <row r="1922" spans="1:6" x14ac:dyDescent="0.2">
      <c r="A1922">
        <v>20200808</v>
      </c>
      <c r="B1922" t="s">
        <v>25</v>
      </c>
      <c r="C1922" t="s">
        <v>9</v>
      </c>
      <c r="D1922">
        <v>3</v>
      </c>
      <c r="E1922">
        <v>3</v>
      </c>
      <c r="F1922">
        <v>3</v>
      </c>
    </row>
    <row r="1923" spans="1:6" x14ac:dyDescent="0.2">
      <c r="A1923">
        <v>20200808</v>
      </c>
      <c r="B1923" t="s">
        <v>28</v>
      </c>
      <c r="C1923" t="s">
        <v>9</v>
      </c>
      <c r="D1923">
        <v>32</v>
      </c>
      <c r="E1923">
        <v>32</v>
      </c>
      <c r="F1923">
        <v>21</v>
      </c>
    </row>
    <row r="1924" spans="1:6" x14ac:dyDescent="0.2">
      <c r="A1924">
        <v>20200808</v>
      </c>
      <c r="B1924" t="s">
        <v>39</v>
      </c>
      <c r="C1924" t="s">
        <v>7</v>
      </c>
      <c r="D1924">
        <v>3133</v>
      </c>
      <c r="E1924">
        <v>3133</v>
      </c>
      <c r="F1924">
        <v>2150</v>
      </c>
    </row>
    <row r="1925" spans="1:6" x14ac:dyDescent="0.2">
      <c r="A1925">
        <v>20200808</v>
      </c>
      <c r="B1925" t="s">
        <v>39</v>
      </c>
      <c r="C1925" t="s">
        <v>9</v>
      </c>
      <c r="D1925">
        <v>1595</v>
      </c>
      <c r="E1925">
        <v>1595</v>
      </c>
      <c r="F1925">
        <v>1097</v>
      </c>
    </row>
    <row r="1926" spans="1:6" x14ac:dyDescent="0.2">
      <c r="A1926">
        <v>20200808</v>
      </c>
      <c r="B1926" t="s">
        <v>99</v>
      </c>
      <c r="C1926" t="s">
        <v>9</v>
      </c>
      <c r="D1926">
        <v>29</v>
      </c>
      <c r="E1926">
        <v>29</v>
      </c>
      <c r="F1926">
        <v>13</v>
      </c>
    </row>
    <row r="1927" spans="1:6" x14ac:dyDescent="0.2">
      <c r="A1927">
        <v>20200808</v>
      </c>
      <c r="B1927" t="s">
        <v>108</v>
      </c>
      <c r="C1927" t="s">
        <v>7</v>
      </c>
      <c r="D1927">
        <v>2891</v>
      </c>
      <c r="E1927">
        <v>2891</v>
      </c>
      <c r="F1927">
        <v>1906</v>
      </c>
    </row>
    <row r="1928" spans="1:6" x14ac:dyDescent="0.2">
      <c r="A1928">
        <v>20200808</v>
      </c>
      <c r="B1928" t="s">
        <v>108</v>
      </c>
      <c r="C1928" t="s">
        <v>9</v>
      </c>
      <c r="D1928">
        <v>2719</v>
      </c>
      <c r="E1928">
        <v>2719</v>
      </c>
      <c r="F1928">
        <v>1812</v>
      </c>
    </row>
    <row r="1929" spans="1:6" x14ac:dyDescent="0.2">
      <c r="A1929">
        <v>20200808</v>
      </c>
      <c r="B1929" t="s">
        <v>44</v>
      </c>
      <c r="C1929" t="s">
        <v>9</v>
      </c>
      <c r="D1929">
        <v>9</v>
      </c>
      <c r="E1929">
        <v>9</v>
      </c>
      <c r="F1929">
        <v>0</v>
      </c>
    </row>
    <row r="1930" spans="1:6" x14ac:dyDescent="0.2">
      <c r="A1930">
        <v>20200808</v>
      </c>
      <c r="B1930" t="s">
        <v>97</v>
      </c>
      <c r="C1930" t="s">
        <v>9</v>
      </c>
      <c r="D1930">
        <v>9</v>
      </c>
      <c r="E1930">
        <v>9</v>
      </c>
      <c r="F1930">
        <v>0</v>
      </c>
    </row>
    <row r="1931" spans="1:6" x14ac:dyDescent="0.2">
      <c r="A1931">
        <v>20200808</v>
      </c>
      <c r="B1931" t="s">
        <v>76</v>
      </c>
      <c r="C1931" t="s">
        <v>7</v>
      </c>
      <c r="D1931">
        <v>4</v>
      </c>
      <c r="E1931">
        <v>4</v>
      </c>
      <c r="F1931">
        <v>2</v>
      </c>
    </row>
    <row r="1932" spans="1:6" x14ac:dyDescent="0.2">
      <c r="A1932">
        <v>20200808</v>
      </c>
      <c r="B1932" t="s">
        <v>76</v>
      </c>
      <c r="C1932" t="s">
        <v>9</v>
      </c>
      <c r="D1932">
        <v>477</v>
      </c>
      <c r="E1932">
        <v>477</v>
      </c>
      <c r="F1932">
        <v>315</v>
      </c>
    </row>
    <row r="1933" spans="1:6" x14ac:dyDescent="0.2">
      <c r="A1933">
        <v>20200808</v>
      </c>
      <c r="B1933" t="s">
        <v>62</v>
      </c>
      <c r="C1933" t="s">
        <v>9</v>
      </c>
      <c r="D1933">
        <v>40</v>
      </c>
      <c r="E1933">
        <v>31</v>
      </c>
      <c r="F1933">
        <v>14</v>
      </c>
    </row>
    <row r="1934" spans="1:6" x14ac:dyDescent="0.2">
      <c r="A1934">
        <v>20200808</v>
      </c>
      <c r="B1934" t="s">
        <v>158</v>
      </c>
      <c r="C1934" t="s">
        <v>9</v>
      </c>
      <c r="D1934">
        <v>2</v>
      </c>
      <c r="E1934">
        <v>2</v>
      </c>
      <c r="F1934">
        <v>0</v>
      </c>
    </row>
    <row r="1935" spans="1:6" x14ac:dyDescent="0.2">
      <c r="A1935">
        <v>20200808</v>
      </c>
      <c r="B1935" t="s">
        <v>91</v>
      </c>
      <c r="C1935" t="s">
        <v>7</v>
      </c>
      <c r="D1935">
        <v>71</v>
      </c>
      <c r="E1935">
        <v>53</v>
      </c>
      <c r="F1935">
        <v>14</v>
      </c>
    </row>
    <row r="1936" spans="1:6" x14ac:dyDescent="0.2">
      <c r="A1936">
        <v>20200808</v>
      </c>
      <c r="B1936" t="s">
        <v>91</v>
      </c>
      <c r="C1936" t="s">
        <v>9</v>
      </c>
      <c r="D1936">
        <v>333</v>
      </c>
      <c r="E1936">
        <v>262</v>
      </c>
      <c r="F1936">
        <v>79</v>
      </c>
    </row>
    <row r="1937" spans="1:6" x14ac:dyDescent="0.2">
      <c r="A1937">
        <v>20200808</v>
      </c>
      <c r="B1937" t="s">
        <v>144</v>
      </c>
      <c r="C1937" t="s">
        <v>7</v>
      </c>
      <c r="D1937">
        <v>349</v>
      </c>
      <c r="E1937">
        <v>238</v>
      </c>
      <c r="F1937">
        <v>185</v>
      </c>
    </row>
    <row r="1938" spans="1:6" x14ac:dyDescent="0.2">
      <c r="A1938">
        <v>20200808</v>
      </c>
      <c r="B1938" t="s">
        <v>144</v>
      </c>
      <c r="C1938" t="s">
        <v>9</v>
      </c>
      <c r="D1938">
        <v>211</v>
      </c>
      <c r="E1938">
        <v>167</v>
      </c>
      <c r="F1938">
        <v>127</v>
      </c>
    </row>
    <row r="1939" spans="1:6" x14ac:dyDescent="0.2">
      <c r="A1939">
        <v>20200808</v>
      </c>
      <c r="B1939" t="s">
        <v>95</v>
      </c>
      <c r="C1939" t="s">
        <v>7</v>
      </c>
      <c r="D1939">
        <v>269</v>
      </c>
      <c r="E1939">
        <v>269</v>
      </c>
      <c r="F1939">
        <v>146</v>
      </c>
    </row>
    <row r="1940" spans="1:6" x14ac:dyDescent="0.2">
      <c r="A1940">
        <v>20200808</v>
      </c>
      <c r="B1940" t="s">
        <v>95</v>
      </c>
      <c r="C1940" t="s">
        <v>9</v>
      </c>
      <c r="D1940">
        <v>140</v>
      </c>
      <c r="E1940">
        <v>140</v>
      </c>
      <c r="F1940">
        <v>79</v>
      </c>
    </row>
    <row r="1941" spans="1:6" x14ac:dyDescent="0.2">
      <c r="A1941">
        <v>20200808</v>
      </c>
      <c r="B1941" t="s">
        <v>64</v>
      </c>
      <c r="C1941" t="s">
        <v>7</v>
      </c>
      <c r="D1941">
        <v>1</v>
      </c>
      <c r="E1941">
        <v>1</v>
      </c>
      <c r="F1941">
        <v>0</v>
      </c>
    </row>
    <row r="1942" spans="1:6" x14ac:dyDescent="0.2">
      <c r="A1942">
        <v>20200808</v>
      </c>
      <c r="B1942" t="s">
        <v>64</v>
      </c>
      <c r="C1942" t="s">
        <v>9</v>
      </c>
      <c r="D1942">
        <v>890</v>
      </c>
      <c r="E1942">
        <v>890</v>
      </c>
      <c r="F1942">
        <v>665</v>
      </c>
    </row>
    <row r="1943" spans="1:6" x14ac:dyDescent="0.2">
      <c r="A1943">
        <v>20200808</v>
      </c>
      <c r="B1943" t="s">
        <v>68</v>
      </c>
      <c r="C1943" t="s">
        <v>7</v>
      </c>
      <c r="D1943">
        <v>75</v>
      </c>
      <c r="E1943">
        <v>75</v>
      </c>
      <c r="F1943">
        <v>46</v>
      </c>
    </row>
    <row r="1944" spans="1:6" x14ac:dyDescent="0.2">
      <c r="A1944">
        <v>20200808</v>
      </c>
      <c r="B1944" t="s">
        <v>68</v>
      </c>
      <c r="C1944" t="s">
        <v>9</v>
      </c>
      <c r="D1944">
        <v>7065</v>
      </c>
      <c r="E1944">
        <v>7065</v>
      </c>
      <c r="F1944">
        <v>5566</v>
      </c>
    </row>
    <row r="1945" spans="1:6" x14ac:dyDescent="0.2">
      <c r="A1945">
        <v>20200808</v>
      </c>
      <c r="B1945" t="s">
        <v>85</v>
      </c>
      <c r="C1945" t="s">
        <v>9</v>
      </c>
      <c r="D1945">
        <v>16</v>
      </c>
      <c r="E1945">
        <v>14</v>
      </c>
      <c r="F1945">
        <v>3</v>
      </c>
    </row>
    <row r="1946" spans="1:6" x14ac:dyDescent="0.2">
      <c r="A1946">
        <v>20200808</v>
      </c>
      <c r="B1946" t="s">
        <v>126</v>
      </c>
      <c r="C1946" t="s">
        <v>9</v>
      </c>
      <c r="D1946">
        <v>9</v>
      </c>
      <c r="E1946">
        <v>9</v>
      </c>
      <c r="F1946">
        <v>0</v>
      </c>
    </row>
    <row r="1947" spans="1:6" x14ac:dyDescent="0.2">
      <c r="A1947">
        <v>20200808</v>
      </c>
      <c r="B1947" t="s">
        <v>117</v>
      </c>
      <c r="C1947" t="s">
        <v>9</v>
      </c>
      <c r="D1947">
        <v>33</v>
      </c>
      <c r="E1947">
        <v>33</v>
      </c>
      <c r="F1947">
        <v>18</v>
      </c>
    </row>
    <row r="1948" spans="1:6" x14ac:dyDescent="0.2">
      <c r="A1948">
        <v>20200808</v>
      </c>
      <c r="B1948" t="s">
        <v>13</v>
      </c>
      <c r="C1948" t="s">
        <v>9</v>
      </c>
      <c r="D1948">
        <v>640</v>
      </c>
      <c r="E1948">
        <v>640</v>
      </c>
      <c r="F1948">
        <v>445</v>
      </c>
    </row>
    <row r="1949" spans="1:6" x14ac:dyDescent="0.2">
      <c r="A1949">
        <v>20200808</v>
      </c>
      <c r="B1949" t="s">
        <v>70</v>
      </c>
      <c r="C1949" t="s">
        <v>9</v>
      </c>
      <c r="D1949">
        <v>925</v>
      </c>
      <c r="E1949">
        <v>925</v>
      </c>
      <c r="F1949">
        <v>671</v>
      </c>
    </row>
    <row r="1950" spans="1:6" x14ac:dyDescent="0.2">
      <c r="A1950">
        <v>20200808</v>
      </c>
      <c r="B1950" t="s">
        <v>122</v>
      </c>
      <c r="C1950" t="s">
        <v>9</v>
      </c>
      <c r="D1950">
        <v>3</v>
      </c>
      <c r="E1950">
        <v>3</v>
      </c>
      <c r="F1950">
        <v>2</v>
      </c>
    </row>
    <row r="1951" spans="1:6" x14ac:dyDescent="0.2">
      <c r="A1951">
        <v>20200808</v>
      </c>
      <c r="B1951" t="s">
        <v>89</v>
      </c>
      <c r="C1951" t="s">
        <v>9</v>
      </c>
      <c r="D1951">
        <v>8</v>
      </c>
      <c r="E1951">
        <v>8</v>
      </c>
      <c r="F1951">
        <v>0</v>
      </c>
    </row>
    <row r="1952" spans="1:6" x14ac:dyDescent="0.2">
      <c r="A1952">
        <v>20200808</v>
      </c>
      <c r="B1952" t="s">
        <v>32</v>
      </c>
      <c r="C1952" t="s">
        <v>9</v>
      </c>
      <c r="D1952">
        <v>8</v>
      </c>
      <c r="E1952">
        <v>8</v>
      </c>
      <c r="F1952">
        <v>0</v>
      </c>
    </row>
    <row r="1953" spans="1:6" x14ac:dyDescent="0.2">
      <c r="A1953">
        <v>20200808</v>
      </c>
      <c r="B1953" t="s">
        <v>100</v>
      </c>
      <c r="C1953" t="s">
        <v>7</v>
      </c>
      <c r="D1953">
        <v>258</v>
      </c>
      <c r="E1953">
        <v>258</v>
      </c>
      <c r="F1953">
        <v>139</v>
      </c>
    </row>
    <row r="1954" spans="1:6" x14ac:dyDescent="0.2">
      <c r="A1954">
        <v>20200808</v>
      </c>
      <c r="B1954" t="s">
        <v>100</v>
      </c>
      <c r="C1954" t="s">
        <v>9</v>
      </c>
      <c r="D1954">
        <v>371</v>
      </c>
      <c r="E1954">
        <v>371</v>
      </c>
      <c r="F1954">
        <v>195</v>
      </c>
    </row>
    <row r="1955" spans="1:6" x14ac:dyDescent="0.2">
      <c r="A1955">
        <v>20200808</v>
      </c>
      <c r="B1955" t="s">
        <v>112</v>
      </c>
      <c r="C1955" t="s">
        <v>9</v>
      </c>
      <c r="D1955">
        <v>8</v>
      </c>
      <c r="E1955">
        <v>8</v>
      </c>
      <c r="F1955">
        <v>0</v>
      </c>
    </row>
    <row r="1956" spans="1:6" x14ac:dyDescent="0.2">
      <c r="A1956">
        <v>20200808</v>
      </c>
      <c r="B1956" t="s">
        <v>26</v>
      </c>
      <c r="C1956" t="s">
        <v>9</v>
      </c>
      <c r="D1956">
        <v>8</v>
      </c>
      <c r="E1956">
        <v>8</v>
      </c>
      <c r="F1956">
        <v>0</v>
      </c>
    </row>
    <row r="1957" spans="1:6" x14ac:dyDescent="0.2">
      <c r="A1957">
        <v>20200808</v>
      </c>
      <c r="B1957" t="s">
        <v>59</v>
      </c>
      <c r="C1957" t="s">
        <v>9</v>
      </c>
      <c r="D1957">
        <v>8</v>
      </c>
      <c r="E1957">
        <v>8</v>
      </c>
      <c r="F1957">
        <v>0</v>
      </c>
    </row>
    <row r="1958" spans="1:6" x14ac:dyDescent="0.2">
      <c r="A1958">
        <v>20200808</v>
      </c>
      <c r="B1958" t="s">
        <v>127</v>
      </c>
      <c r="C1958" t="s">
        <v>7</v>
      </c>
      <c r="D1958">
        <v>527</v>
      </c>
      <c r="E1958">
        <v>527</v>
      </c>
      <c r="F1958">
        <v>354</v>
      </c>
    </row>
    <row r="1959" spans="1:6" x14ac:dyDescent="0.2">
      <c r="A1959">
        <v>20200808</v>
      </c>
      <c r="B1959" t="s">
        <v>127</v>
      </c>
      <c r="C1959" t="s">
        <v>9</v>
      </c>
      <c r="D1959">
        <v>662</v>
      </c>
      <c r="E1959">
        <v>662</v>
      </c>
      <c r="F1959">
        <v>452</v>
      </c>
    </row>
    <row r="1960" spans="1:6" x14ac:dyDescent="0.2">
      <c r="A1960">
        <v>20200808</v>
      </c>
      <c r="B1960" t="s">
        <v>105</v>
      </c>
      <c r="C1960" t="s">
        <v>7</v>
      </c>
      <c r="D1960">
        <v>585</v>
      </c>
      <c r="E1960">
        <v>2</v>
      </c>
      <c r="F1960">
        <v>1</v>
      </c>
    </row>
    <row r="1961" spans="1:6" x14ac:dyDescent="0.2">
      <c r="A1961">
        <v>20200808</v>
      </c>
      <c r="B1961" t="s">
        <v>105</v>
      </c>
      <c r="C1961" t="s">
        <v>9</v>
      </c>
      <c r="D1961">
        <v>569</v>
      </c>
      <c r="E1961">
        <v>2</v>
      </c>
      <c r="F1961">
        <v>0</v>
      </c>
    </row>
    <row r="1962" spans="1:6" x14ac:dyDescent="0.2">
      <c r="A1962">
        <v>20200808</v>
      </c>
      <c r="B1962" t="s">
        <v>106</v>
      </c>
      <c r="C1962" t="s">
        <v>7</v>
      </c>
      <c r="D1962">
        <v>58</v>
      </c>
      <c r="E1962">
        <v>0</v>
      </c>
      <c r="F1962">
        <v>0</v>
      </c>
    </row>
    <row r="1963" spans="1:6" x14ac:dyDescent="0.2">
      <c r="A1963">
        <v>20200808</v>
      </c>
      <c r="B1963" t="s">
        <v>106</v>
      </c>
      <c r="C1963" t="s">
        <v>9</v>
      </c>
      <c r="D1963">
        <v>90</v>
      </c>
      <c r="E1963">
        <v>0</v>
      </c>
      <c r="F1963">
        <v>0</v>
      </c>
    </row>
    <row r="1964" spans="1:6" x14ac:dyDescent="0.2">
      <c r="A1964">
        <v>20200808</v>
      </c>
      <c r="B1964" t="s">
        <v>75</v>
      </c>
      <c r="C1964" t="s">
        <v>9</v>
      </c>
      <c r="D1964">
        <v>693</v>
      </c>
      <c r="E1964">
        <v>693</v>
      </c>
      <c r="F1964">
        <v>430</v>
      </c>
    </row>
    <row r="1965" spans="1:6" x14ac:dyDescent="0.2">
      <c r="A1965">
        <v>20200808</v>
      </c>
      <c r="B1965" t="s">
        <v>137</v>
      </c>
      <c r="C1965" t="s">
        <v>9</v>
      </c>
      <c r="D1965">
        <v>7</v>
      </c>
      <c r="E1965">
        <v>7</v>
      </c>
      <c r="F1965">
        <v>0</v>
      </c>
    </row>
    <row r="1966" spans="1:6" x14ac:dyDescent="0.2">
      <c r="A1966">
        <v>20200808</v>
      </c>
      <c r="B1966" t="s">
        <v>43</v>
      </c>
      <c r="C1966" t="s">
        <v>9</v>
      </c>
      <c r="D1966">
        <v>25</v>
      </c>
      <c r="E1966">
        <v>25</v>
      </c>
      <c r="F1966">
        <v>13</v>
      </c>
    </row>
    <row r="1967" spans="1:6" x14ac:dyDescent="0.2">
      <c r="A1967">
        <v>20200808</v>
      </c>
      <c r="B1967" t="s">
        <v>8</v>
      </c>
      <c r="C1967" t="s">
        <v>9</v>
      </c>
      <c r="D1967">
        <v>8</v>
      </c>
      <c r="E1967">
        <v>8</v>
      </c>
      <c r="F1967">
        <v>0</v>
      </c>
    </row>
    <row r="1968" spans="1:6" x14ac:dyDescent="0.2">
      <c r="A1968">
        <v>20200808</v>
      </c>
      <c r="B1968" t="s">
        <v>87</v>
      </c>
      <c r="C1968" t="s">
        <v>7</v>
      </c>
      <c r="D1968">
        <v>2</v>
      </c>
      <c r="E1968">
        <v>1</v>
      </c>
      <c r="F1968">
        <v>0</v>
      </c>
    </row>
    <row r="1969" spans="1:6" x14ac:dyDescent="0.2">
      <c r="A1969">
        <v>20200808</v>
      </c>
      <c r="B1969" t="s">
        <v>87</v>
      </c>
      <c r="C1969" t="s">
        <v>9</v>
      </c>
      <c r="D1969">
        <v>1785</v>
      </c>
      <c r="E1969">
        <v>1415</v>
      </c>
      <c r="F1969">
        <v>872</v>
      </c>
    </row>
    <row r="1970" spans="1:6" x14ac:dyDescent="0.2">
      <c r="A1970">
        <v>20200808</v>
      </c>
      <c r="B1970" t="s">
        <v>170</v>
      </c>
      <c r="C1970" t="s">
        <v>7</v>
      </c>
      <c r="D1970">
        <v>2620</v>
      </c>
      <c r="E1970">
        <v>406</v>
      </c>
      <c r="F1970">
        <v>145</v>
      </c>
    </row>
    <row r="1971" spans="1:6" x14ac:dyDescent="0.2">
      <c r="A1971">
        <v>20200808</v>
      </c>
      <c r="B1971" t="s">
        <v>170</v>
      </c>
      <c r="C1971" t="s">
        <v>9</v>
      </c>
      <c r="D1971">
        <v>2236</v>
      </c>
      <c r="E1971">
        <v>208</v>
      </c>
      <c r="F1971">
        <v>60</v>
      </c>
    </row>
    <row r="1972" spans="1:6" x14ac:dyDescent="0.2">
      <c r="A1972">
        <v>20200808</v>
      </c>
      <c r="B1972" t="s">
        <v>109</v>
      </c>
      <c r="C1972" t="s">
        <v>9</v>
      </c>
      <c r="D1972">
        <v>8</v>
      </c>
      <c r="E1972">
        <v>8</v>
      </c>
      <c r="F1972">
        <v>0</v>
      </c>
    </row>
    <row r="1973" spans="1:6" x14ac:dyDescent="0.2">
      <c r="A1973">
        <v>20200808</v>
      </c>
      <c r="B1973" t="s">
        <v>60</v>
      </c>
      <c r="C1973" t="s">
        <v>9</v>
      </c>
      <c r="D1973">
        <v>8</v>
      </c>
      <c r="E1973">
        <v>8</v>
      </c>
      <c r="F1973">
        <v>0</v>
      </c>
    </row>
    <row r="1974" spans="1:6" x14ac:dyDescent="0.2">
      <c r="A1974">
        <v>20200808</v>
      </c>
      <c r="B1974" t="s">
        <v>78</v>
      </c>
      <c r="C1974" t="s">
        <v>7</v>
      </c>
      <c r="D1974">
        <v>377</v>
      </c>
      <c r="E1974">
        <v>377</v>
      </c>
      <c r="F1974">
        <v>187</v>
      </c>
    </row>
    <row r="1975" spans="1:6" x14ac:dyDescent="0.2">
      <c r="A1975">
        <v>20200808</v>
      </c>
      <c r="B1975" t="s">
        <v>78</v>
      </c>
      <c r="C1975" t="s">
        <v>9</v>
      </c>
      <c r="D1975">
        <v>96</v>
      </c>
      <c r="E1975">
        <v>96</v>
      </c>
      <c r="F1975">
        <v>38</v>
      </c>
    </row>
    <row r="1976" spans="1:6" x14ac:dyDescent="0.2">
      <c r="A1976">
        <v>20200808</v>
      </c>
      <c r="B1976" t="s">
        <v>83</v>
      </c>
      <c r="C1976" t="s">
        <v>9</v>
      </c>
      <c r="D1976">
        <v>295</v>
      </c>
      <c r="E1976">
        <v>295</v>
      </c>
      <c r="F1976">
        <v>136</v>
      </c>
    </row>
    <row r="1977" spans="1:6" x14ac:dyDescent="0.2">
      <c r="A1977">
        <v>20200808</v>
      </c>
      <c r="B1977" t="s">
        <v>42</v>
      </c>
      <c r="C1977" t="s">
        <v>9</v>
      </c>
      <c r="D1977">
        <v>7</v>
      </c>
      <c r="E1977">
        <v>7</v>
      </c>
      <c r="F1977">
        <v>0</v>
      </c>
    </row>
    <row r="1978" spans="1:6" x14ac:dyDescent="0.2">
      <c r="A1978">
        <v>20200808</v>
      </c>
      <c r="B1978" t="s">
        <v>125</v>
      </c>
      <c r="C1978" t="s">
        <v>9</v>
      </c>
      <c r="D1978">
        <v>1</v>
      </c>
      <c r="E1978">
        <v>1</v>
      </c>
      <c r="F1978">
        <v>0</v>
      </c>
    </row>
    <row r="1979" spans="1:6" x14ac:dyDescent="0.2">
      <c r="A1979">
        <v>20200808</v>
      </c>
      <c r="B1979" t="s">
        <v>81</v>
      </c>
      <c r="C1979" t="s">
        <v>7</v>
      </c>
      <c r="D1979">
        <v>1</v>
      </c>
      <c r="E1979">
        <v>0</v>
      </c>
      <c r="F1979">
        <v>0</v>
      </c>
    </row>
    <row r="1980" spans="1:6" x14ac:dyDescent="0.2">
      <c r="A1980">
        <v>20200808</v>
      </c>
      <c r="B1980" t="s">
        <v>48</v>
      </c>
      <c r="C1980" t="s">
        <v>9</v>
      </c>
      <c r="D1980">
        <v>469</v>
      </c>
      <c r="E1980">
        <v>469</v>
      </c>
      <c r="F1980">
        <v>301</v>
      </c>
    </row>
    <row r="1981" spans="1:6" x14ac:dyDescent="0.2">
      <c r="A1981">
        <v>20200808</v>
      </c>
      <c r="B1981" t="s">
        <v>24</v>
      </c>
      <c r="C1981" t="s">
        <v>7</v>
      </c>
      <c r="D1981">
        <v>2</v>
      </c>
      <c r="E1981">
        <v>2</v>
      </c>
      <c r="F1981">
        <v>0</v>
      </c>
    </row>
    <row r="1982" spans="1:6" x14ac:dyDescent="0.2">
      <c r="A1982">
        <v>20200808</v>
      </c>
      <c r="B1982" t="s">
        <v>24</v>
      </c>
      <c r="C1982" t="s">
        <v>9</v>
      </c>
      <c r="D1982">
        <v>1</v>
      </c>
      <c r="E1982">
        <v>1</v>
      </c>
      <c r="F1982">
        <v>0</v>
      </c>
    </row>
    <row r="1983" spans="1:6" x14ac:dyDescent="0.2">
      <c r="A1983">
        <v>20200808</v>
      </c>
      <c r="B1983" t="s">
        <v>93</v>
      </c>
      <c r="C1983" t="s">
        <v>9</v>
      </c>
      <c r="D1983">
        <v>471</v>
      </c>
      <c r="E1983">
        <v>471</v>
      </c>
      <c r="F1983">
        <v>327</v>
      </c>
    </row>
    <row r="1984" spans="1:6" x14ac:dyDescent="0.2">
      <c r="A1984">
        <v>20200808</v>
      </c>
      <c r="B1984" t="s">
        <v>67</v>
      </c>
      <c r="C1984" t="s">
        <v>9</v>
      </c>
      <c r="D1984">
        <v>8</v>
      </c>
      <c r="E1984">
        <v>8</v>
      </c>
      <c r="F1984">
        <v>0</v>
      </c>
    </row>
    <row r="1985" spans="1:6" x14ac:dyDescent="0.2">
      <c r="A1985">
        <v>20200808</v>
      </c>
      <c r="B1985" t="s">
        <v>22</v>
      </c>
      <c r="C1985" t="s">
        <v>7</v>
      </c>
      <c r="D1985">
        <v>609</v>
      </c>
      <c r="E1985">
        <v>609</v>
      </c>
      <c r="F1985">
        <v>433</v>
      </c>
    </row>
    <row r="1986" spans="1:6" x14ac:dyDescent="0.2">
      <c r="A1986">
        <v>20200808</v>
      </c>
      <c r="B1986" t="s">
        <v>22</v>
      </c>
      <c r="C1986" t="s">
        <v>9</v>
      </c>
      <c r="D1986">
        <v>1578</v>
      </c>
      <c r="E1986">
        <v>1578</v>
      </c>
      <c r="F1986">
        <v>1234</v>
      </c>
    </row>
    <row r="1987" spans="1:6" x14ac:dyDescent="0.2">
      <c r="A1987">
        <v>20200808</v>
      </c>
      <c r="B1987" t="s">
        <v>55</v>
      </c>
      <c r="C1987" t="s">
        <v>7</v>
      </c>
      <c r="D1987">
        <v>1</v>
      </c>
      <c r="E1987">
        <v>1</v>
      </c>
      <c r="F1987">
        <v>1</v>
      </c>
    </row>
    <row r="1988" spans="1:6" x14ac:dyDescent="0.2">
      <c r="A1988">
        <v>20200808</v>
      </c>
      <c r="B1988" t="s">
        <v>55</v>
      </c>
      <c r="C1988" t="s">
        <v>9</v>
      </c>
      <c r="D1988">
        <v>937</v>
      </c>
      <c r="E1988">
        <v>937</v>
      </c>
      <c r="F1988">
        <v>689</v>
      </c>
    </row>
    <row r="1989" spans="1:6" x14ac:dyDescent="0.2">
      <c r="A1989">
        <v>20200808</v>
      </c>
      <c r="B1989" t="s">
        <v>131</v>
      </c>
      <c r="C1989" t="s">
        <v>7</v>
      </c>
      <c r="D1989">
        <v>2042</v>
      </c>
      <c r="E1989">
        <v>517</v>
      </c>
      <c r="F1989">
        <v>301</v>
      </c>
    </row>
    <row r="1990" spans="1:6" x14ac:dyDescent="0.2">
      <c r="A1990">
        <v>20200808</v>
      </c>
      <c r="B1990" t="s">
        <v>131</v>
      </c>
      <c r="C1990" t="s">
        <v>9</v>
      </c>
      <c r="D1990">
        <v>2063</v>
      </c>
      <c r="E1990">
        <v>550</v>
      </c>
      <c r="F1990">
        <v>325</v>
      </c>
    </row>
    <row r="1991" spans="1:6" x14ac:dyDescent="0.2">
      <c r="A1991">
        <v>20200808</v>
      </c>
      <c r="B1991" t="s">
        <v>10</v>
      </c>
      <c r="C1991" t="s">
        <v>9</v>
      </c>
      <c r="D1991">
        <v>9</v>
      </c>
      <c r="E1991">
        <v>9</v>
      </c>
      <c r="F1991">
        <v>0</v>
      </c>
    </row>
    <row r="1992" spans="1:6" x14ac:dyDescent="0.2">
      <c r="A1992">
        <v>20200808</v>
      </c>
      <c r="B1992" t="s">
        <v>111</v>
      </c>
      <c r="C1992" t="s">
        <v>9</v>
      </c>
      <c r="D1992">
        <v>267</v>
      </c>
      <c r="E1992">
        <v>267</v>
      </c>
      <c r="F1992">
        <v>186</v>
      </c>
    </row>
    <row r="1993" spans="1:6" x14ac:dyDescent="0.2">
      <c r="A1993">
        <v>20200808</v>
      </c>
      <c r="B1993" t="s">
        <v>98</v>
      </c>
      <c r="C1993" t="s">
        <v>7</v>
      </c>
      <c r="D1993">
        <v>10</v>
      </c>
      <c r="E1993">
        <v>7</v>
      </c>
      <c r="F1993">
        <v>3</v>
      </c>
    </row>
    <row r="1994" spans="1:6" x14ac:dyDescent="0.2">
      <c r="A1994">
        <v>20200808</v>
      </c>
      <c r="B1994" t="s">
        <v>98</v>
      </c>
      <c r="C1994" t="s">
        <v>9</v>
      </c>
      <c r="D1994">
        <v>707</v>
      </c>
      <c r="E1994">
        <v>467</v>
      </c>
      <c r="F1994">
        <v>195</v>
      </c>
    </row>
    <row r="1995" spans="1:6" x14ac:dyDescent="0.2">
      <c r="A1995">
        <v>20200808</v>
      </c>
      <c r="B1995" t="s">
        <v>46</v>
      </c>
      <c r="C1995" t="s">
        <v>7</v>
      </c>
      <c r="D1995">
        <v>3</v>
      </c>
      <c r="E1995">
        <v>3</v>
      </c>
      <c r="F1995">
        <v>2</v>
      </c>
    </row>
    <row r="1996" spans="1:6" x14ac:dyDescent="0.2">
      <c r="A1996">
        <v>20200808</v>
      </c>
      <c r="B1996" t="s">
        <v>46</v>
      </c>
      <c r="C1996" t="s">
        <v>9</v>
      </c>
      <c r="D1996">
        <v>99</v>
      </c>
      <c r="E1996">
        <v>99</v>
      </c>
      <c r="F1996">
        <v>72</v>
      </c>
    </row>
    <row r="1997" spans="1:6" x14ac:dyDescent="0.2">
      <c r="A1997">
        <v>20200808</v>
      </c>
      <c r="C1997" t="s">
        <v>7</v>
      </c>
      <c r="D1997">
        <v>9948</v>
      </c>
      <c r="E1997">
        <v>0</v>
      </c>
      <c r="F1997">
        <v>0</v>
      </c>
    </row>
    <row r="1998" spans="1:6" x14ac:dyDescent="0.2">
      <c r="A1998">
        <v>20200808</v>
      </c>
      <c r="C1998" t="s">
        <v>9</v>
      </c>
      <c r="D1998">
        <v>11520</v>
      </c>
      <c r="E1998">
        <v>0</v>
      </c>
      <c r="F1998">
        <v>0</v>
      </c>
    </row>
    <row r="1999" spans="1:6" x14ac:dyDescent="0.2">
      <c r="A1999">
        <v>20200809</v>
      </c>
      <c r="B1999" t="s">
        <v>82</v>
      </c>
      <c r="C1999" t="s">
        <v>7</v>
      </c>
      <c r="D1999">
        <v>2609</v>
      </c>
      <c r="E1999">
        <v>2609</v>
      </c>
      <c r="F1999">
        <v>1649</v>
      </c>
    </row>
    <row r="2000" spans="1:6" x14ac:dyDescent="0.2">
      <c r="A2000">
        <v>20200809</v>
      </c>
      <c r="B2000" t="s">
        <v>82</v>
      </c>
      <c r="C2000" t="s">
        <v>9</v>
      </c>
      <c r="D2000">
        <v>1450</v>
      </c>
      <c r="E2000">
        <v>1450</v>
      </c>
      <c r="F2000">
        <v>955</v>
      </c>
    </row>
    <row r="2001" spans="1:6" x14ac:dyDescent="0.2">
      <c r="A2001">
        <v>20200809</v>
      </c>
      <c r="B2001" t="s">
        <v>34</v>
      </c>
      <c r="C2001" t="s">
        <v>7</v>
      </c>
      <c r="D2001">
        <v>29</v>
      </c>
      <c r="E2001">
        <v>19</v>
      </c>
      <c r="F2001">
        <v>12</v>
      </c>
    </row>
    <row r="2002" spans="1:6" x14ac:dyDescent="0.2">
      <c r="A2002">
        <v>20200809</v>
      </c>
      <c r="B2002" t="s">
        <v>34</v>
      </c>
      <c r="C2002" t="s">
        <v>9</v>
      </c>
      <c r="D2002">
        <v>306</v>
      </c>
      <c r="E2002">
        <v>190</v>
      </c>
      <c r="F2002">
        <v>98</v>
      </c>
    </row>
    <row r="2003" spans="1:6" x14ac:dyDescent="0.2">
      <c r="A2003">
        <v>20200809</v>
      </c>
      <c r="B2003" t="s">
        <v>94</v>
      </c>
      <c r="C2003" t="s">
        <v>9</v>
      </c>
      <c r="D2003">
        <v>43</v>
      </c>
      <c r="E2003">
        <v>43</v>
      </c>
      <c r="F2003">
        <v>27</v>
      </c>
    </row>
    <row r="2004" spans="1:6" x14ac:dyDescent="0.2">
      <c r="A2004">
        <v>20200809</v>
      </c>
      <c r="B2004" t="s">
        <v>45</v>
      </c>
      <c r="C2004" t="s">
        <v>7</v>
      </c>
      <c r="D2004">
        <v>339</v>
      </c>
      <c r="E2004">
        <v>0</v>
      </c>
      <c r="F2004">
        <v>0</v>
      </c>
    </row>
    <row r="2005" spans="1:6" x14ac:dyDescent="0.2">
      <c r="A2005">
        <v>20200809</v>
      </c>
      <c r="B2005" t="s">
        <v>45</v>
      </c>
      <c r="C2005" t="s">
        <v>9</v>
      </c>
      <c r="D2005">
        <v>320</v>
      </c>
      <c r="E2005">
        <v>0</v>
      </c>
      <c r="F2005">
        <v>0</v>
      </c>
    </row>
    <row r="2006" spans="1:6" x14ac:dyDescent="0.2">
      <c r="A2006">
        <v>20200809</v>
      </c>
      <c r="B2006" t="s">
        <v>69</v>
      </c>
      <c r="C2006" t="s">
        <v>7</v>
      </c>
      <c r="D2006">
        <v>1</v>
      </c>
      <c r="E2006">
        <v>0</v>
      </c>
      <c r="F2006">
        <v>0</v>
      </c>
    </row>
    <row r="2007" spans="1:6" x14ac:dyDescent="0.2">
      <c r="A2007">
        <v>20200809</v>
      </c>
      <c r="B2007" t="s">
        <v>129</v>
      </c>
      <c r="C2007" t="s">
        <v>9</v>
      </c>
      <c r="D2007">
        <v>1</v>
      </c>
      <c r="E2007">
        <v>0</v>
      </c>
      <c r="F2007">
        <v>0</v>
      </c>
    </row>
    <row r="2008" spans="1:6" x14ac:dyDescent="0.2">
      <c r="A2008">
        <v>20200809</v>
      </c>
      <c r="B2008" t="s">
        <v>11</v>
      </c>
      <c r="C2008" t="s">
        <v>7</v>
      </c>
      <c r="D2008">
        <v>7814</v>
      </c>
      <c r="E2008">
        <v>2</v>
      </c>
      <c r="F2008">
        <v>1</v>
      </c>
    </row>
    <row r="2009" spans="1:6" x14ac:dyDescent="0.2">
      <c r="A2009">
        <v>20200809</v>
      </c>
      <c r="B2009" t="s">
        <v>11</v>
      </c>
      <c r="C2009" t="s">
        <v>9</v>
      </c>
      <c r="D2009">
        <v>7722</v>
      </c>
      <c r="E2009">
        <v>3</v>
      </c>
      <c r="F2009">
        <v>1</v>
      </c>
    </row>
    <row r="2010" spans="1:6" x14ac:dyDescent="0.2">
      <c r="A2010">
        <v>20200809</v>
      </c>
      <c r="B2010" t="s">
        <v>16</v>
      </c>
      <c r="C2010" t="s">
        <v>7</v>
      </c>
      <c r="D2010">
        <v>1307</v>
      </c>
      <c r="E2010">
        <v>1307</v>
      </c>
      <c r="F2010">
        <v>926</v>
      </c>
    </row>
    <row r="2011" spans="1:6" x14ac:dyDescent="0.2">
      <c r="A2011">
        <v>20200809</v>
      </c>
      <c r="B2011" t="s">
        <v>16</v>
      </c>
      <c r="C2011" t="s">
        <v>9</v>
      </c>
      <c r="D2011">
        <v>779</v>
      </c>
      <c r="E2011">
        <v>779</v>
      </c>
      <c r="F2011">
        <v>571</v>
      </c>
    </row>
    <row r="2012" spans="1:6" x14ac:dyDescent="0.2">
      <c r="A2012">
        <v>20200809</v>
      </c>
      <c r="B2012" t="s">
        <v>120</v>
      </c>
      <c r="C2012" t="s">
        <v>9</v>
      </c>
      <c r="D2012">
        <v>1</v>
      </c>
      <c r="E2012">
        <v>1</v>
      </c>
      <c r="F2012">
        <v>0</v>
      </c>
    </row>
    <row r="2013" spans="1:6" x14ac:dyDescent="0.2">
      <c r="A2013">
        <v>20200809</v>
      </c>
      <c r="B2013" t="s">
        <v>6</v>
      </c>
      <c r="C2013" t="s">
        <v>7</v>
      </c>
      <c r="D2013">
        <v>364</v>
      </c>
      <c r="E2013">
        <v>364</v>
      </c>
      <c r="F2013">
        <v>197</v>
      </c>
    </row>
    <row r="2014" spans="1:6" x14ac:dyDescent="0.2">
      <c r="A2014">
        <v>20200809</v>
      </c>
      <c r="B2014" t="s">
        <v>6</v>
      </c>
      <c r="C2014" t="s">
        <v>9</v>
      </c>
      <c r="D2014">
        <v>2354</v>
      </c>
      <c r="E2014">
        <v>2354</v>
      </c>
      <c r="F2014">
        <v>1343</v>
      </c>
    </row>
    <row r="2015" spans="1:6" x14ac:dyDescent="0.2">
      <c r="A2015">
        <v>20200809</v>
      </c>
      <c r="B2015" t="s">
        <v>41</v>
      </c>
      <c r="C2015" t="s">
        <v>7</v>
      </c>
      <c r="D2015">
        <v>22</v>
      </c>
      <c r="E2015">
        <v>14</v>
      </c>
      <c r="F2015">
        <v>10</v>
      </c>
    </row>
    <row r="2016" spans="1:6" x14ac:dyDescent="0.2">
      <c r="A2016">
        <v>20200809</v>
      </c>
      <c r="B2016" t="s">
        <v>41</v>
      </c>
      <c r="C2016" t="s">
        <v>9</v>
      </c>
      <c r="D2016">
        <v>17</v>
      </c>
      <c r="E2016">
        <v>17</v>
      </c>
      <c r="F2016">
        <v>15</v>
      </c>
    </row>
    <row r="2017" spans="1:6" x14ac:dyDescent="0.2">
      <c r="A2017">
        <v>20200809</v>
      </c>
      <c r="B2017" t="s">
        <v>119</v>
      </c>
      <c r="C2017" t="s">
        <v>9</v>
      </c>
      <c r="D2017">
        <v>61</v>
      </c>
      <c r="E2017">
        <v>61</v>
      </c>
      <c r="F2017">
        <v>24</v>
      </c>
    </row>
    <row r="2018" spans="1:6" x14ac:dyDescent="0.2">
      <c r="A2018">
        <v>20200809</v>
      </c>
      <c r="B2018" t="s">
        <v>27</v>
      </c>
      <c r="C2018" t="s">
        <v>9</v>
      </c>
      <c r="D2018">
        <v>130</v>
      </c>
      <c r="E2018">
        <v>130</v>
      </c>
      <c r="F2018">
        <v>83</v>
      </c>
    </row>
    <row r="2019" spans="1:6" x14ac:dyDescent="0.2">
      <c r="A2019">
        <v>20200809</v>
      </c>
      <c r="B2019" t="s">
        <v>88</v>
      </c>
      <c r="C2019" t="s">
        <v>7</v>
      </c>
      <c r="D2019">
        <v>1</v>
      </c>
      <c r="E2019">
        <v>1</v>
      </c>
      <c r="F2019">
        <v>1</v>
      </c>
    </row>
    <row r="2020" spans="1:6" x14ac:dyDescent="0.2">
      <c r="A2020">
        <v>20200809</v>
      </c>
      <c r="B2020" t="s">
        <v>88</v>
      </c>
      <c r="C2020" t="s">
        <v>9</v>
      </c>
      <c r="D2020">
        <v>1237</v>
      </c>
      <c r="E2020">
        <v>1237</v>
      </c>
      <c r="F2020">
        <v>859</v>
      </c>
    </row>
    <row r="2021" spans="1:6" x14ac:dyDescent="0.2">
      <c r="A2021">
        <v>20200809</v>
      </c>
      <c r="B2021" t="s">
        <v>35</v>
      </c>
      <c r="C2021" t="s">
        <v>9</v>
      </c>
      <c r="D2021">
        <v>162</v>
      </c>
      <c r="E2021">
        <v>162</v>
      </c>
      <c r="F2021">
        <v>82</v>
      </c>
    </row>
    <row r="2022" spans="1:6" x14ac:dyDescent="0.2">
      <c r="A2022">
        <v>20200809</v>
      </c>
      <c r="B2022" t="s">
        <v>61</v>
      </c>
      <c r="C2022" t="s">
        <v>9</v>
      </c>
      <c r="D2022">
        <v>2</v>
      </c>
      <c r="E2022">
        <v>2</v>
      </c>
      <c r="F2022">
        <v>0</v>
      </c>
    </row>
    <row r="2023" spans="1:6" x14ac:dyDescent="0.2">
      <c r="A2023">
        <v>20200809</v>
      </c>
      <c r="B2023" t="s">
        <v>20</v>
      </c>
      <c r="C2023" t="s">
        <v>7</v>
      </c>
      <c r="D2023">
        <v>263</v>
      </c>
      <c r="E2023">
        <v>141</v>
      </c>
      <c r="F2023">
        <v>85</v>
      </c>
    </row>
    <row r="2024" spans="1:6" x14ac:dyDescent="0.2">
      <c r="A2024">
        <v>20200809</v>
      </c>
      <c r="B2024" t="s">
        <v>20</v>
      </c>
      <c r="C2024" t="s">
        <v>9</v>
      </c>
      <c r="D2024">
        <v>327</v>
      </c>
      <c r="E2024">
        <v>187</v>
      </c>
      <c r="F2024">
        <v>106</v>
      </c>
    </row>
    <row r="2025" spans="1:6" x14ac:dyDescent="0.2">
      <c r="A2025">
        <v>20200809</v>
      </c>
      <c r="B2025" t="s">
        <v>149</v>
      </c>
      <c r="C2025" t="s">
        <v>9</v>
      </c>
      <c r="D2025">
        <v>70</v>
      </c>
      <c r="E2025">
        <v>55</v>
      </c>
      <c r="F2025">
        <v>19</v>
      </c>
    </row>
    <row r="2026" spans="1:6" x14ac:dyDescent="0.2">
      <c r="A2026">
        <v>20200809</v>
      </c>
      <c r="B2026" t="s">
        <v>154</v>
      </c>
      <c r="C2026" t="s">
        <v>7</v>
      </c>
      <c r="D2026">
        <v>1</v>
      </c>
      <c r="E2026">
        <v>0</v>
      </c>
      <c r="F2026">
        <v>0</v>
      </c>
    </row>
    <row r="2027" spans="1:6" x14ac:dyDescent="0.2">
      <c r="A2027">
        <v>20200809</v>
      </c>
      <c r="B2027" t="s">
        <v>154</v>
      </c>
      <c r="C2027" t="s">
        <v>9</v>
      </c>
      <c r="D2027">
        <v>1</v>
      </c>
      <c r="E2027">
        <v>0</v>
      </c>
      <c r="F2027">
        <v>0</v>
      </c>
    </row>
    <row r="2028" spans="1:6" x14ac:dyDescent="0.2">
      <c r="A2028">
        <v>20200809</v>
      </c>
      <c r="B2028" t="s">
        <v>38</v>
      </c>
      <c r="C2028" t="s">
        <v>7</v>
      </c>
      <c r="D2028">
        <v>1368</v>
      </c>
      <c r="E2028">
        <v>1368</v>
      </c>
      <c r="F2028">
        <v>711</v>
      </c>
    </row>
    <row r="2029" spans="1:6" x14ac:dyDescent="0.2">
      <c r="A2029">
        <v>20200809</v>
      </c>
      <c r="B2029" t="s">
        <v>38</v>
      </c>
      <c r="C2029" t="s">
        <v>9</v>
      </c>
      <c r="D2029">
        <v>569</v>
      </c>
      <c r="E2029">
        <v>569</v>
      </c>
      <c r="F2029">
        <v>319</v>
      </c>
    </row>
    <row r="2030" spans="1:6" x14ac:dyDescent="0.2">
      <c r="A2030">
        <v>20200809</v>
      </c>
      <c r="B2030" t="s">
        <v>28</v>
      </c>
      <c r="C2030" t="s">
        <v>9</v>
      </c>
      <c r="D2030">
        <v>69</v>
      </c>
      <c r="E2030">
        <v>69</v>
      </c>
      <c r="F2030">
        <v>48</v>
      </c>
    </row>
    <row r="2031" spans="1:6" x14ac:dyDescent="0.2">
      <c r="A2031">
        <v>20200809</v>
      </c>
      <c r="B2031" t="s">
        <v>39</v>
      </c>
      <c r="C2031" t="s">
        <v>7</v>
      </c>
      <c r="D2031">
        <v>5296</v>
      </c>
      <c r="E2031">
        <v>5296</v>
      </c>
      <c r="F2031">
        <v>3452</v>
      </c>
    </row>
    <row r="2032" spans="1:6" x14ac:dyDescent="0.2">
      <c r="A2032">
        <v>20200809</v>
      </c>
      <c r="B2032" t="s">
        <v>39</v>
      </c>
      <c r="C2032" t="s">
        <v>9</v>
      </c>
      <c r="D2032">
        <v>4493</v>
      </c>
      <c r="E2032">
        <v>4493</v>
      </c>
      <c r="F2032">
        <v>3063</v>
      </c>
    </row>
    <row r="2033" spans="1:6" x14ac:dyDescent="0.2">
      <c r="A2033">
        <v>20200809</v>
      </c>
      <c r="B2033" t="s">
        <v>99</v>
      </c>
      <c r="C2033" t="s">
        <v>9</v>
      </c>
      <c r="D2033">
        <v>45</v>
      </c>
      <c r="E2033">
        <v>45</v>
      </c>
      <c r="F2033">
        <v>29</v>
      </c>
    </row>
    <row r="2034" spans="1:6" x14ac:dyDescent="0.2">
      <c r="A2034">
        <v>20200809</v>
      </c>
      <c r="B2034" t="s">
        <v>108</v>
      </c>
      <c r="C2034" t="s">
        <v>7</v>
      </c>
      <c r="D2034">
        <v>1276</v>
      </c>
      <c r="E2034">
        <v>1276</v>
      </c>
      <c r="F2034">
        <v>864</v>
      </c>
    </row>
    <row r="2035" spans="1:6" x14ac:dyDescent="0.2">
      <c r="A2035">
        <v>20200809</v>
      </c>
      <c r="B2035" t="s">
        <v>108</v>
      </c>
      <c r="C2035" t="s">
        <v>9</v>
      </c>
      <c r="D2035">
        <v>1036</v>
      </c>
      <c r="E2035">
        <v>1036</v>
      </c>
      <c r="F2035">
        <v>736</v>
      </c>
    </row>
    <row r="2036" spans="1:6" x14ac:dyDescent="0.2">
      <c r="A2036">
        <v>20200809</v>
      </c>
      <c r="B2036" t="s">
        <v>44</v>
      </c>
      <c r="C2036" t="s">
        <v>9</v>
      </c>
      <c r="D2036">
        <v>1</v>
      </c>
      <c r="E2036">
        <v>1</v>
      </c>
      <c r="F2036">
        <v>0</v>
      </c>
    </row>
    <row r="2037" spans="1:6" x14ac:dyDescent="0.2">
      <c r="A2037">
        <v>20200809</v>
      </c>
      <c r="B2037" t="s">
        <v>97</v>
      </c>
      <c r="C2037" t="s">
        <v>9</v>
      </c>
      <c r="D2037">
        <v>1</v>
      </c>
      <c r="E2037">
        <v>1</v>
      </c>
      <c r="F2037">
        <v>0</v>
      </c>
    </row>
    <row r="2038" spans="1:6" x14ac:dyDescent="0.2">
      <c r="A2038">
        <v>20200809</v>
      </c>
      <c r="B2038" t="s">
        <v>76</v>
      </c>
      <c r="C2038" t="s">
        <v>9</v>
      </c>
      <c r="D2038">
        <v>645</v>
      </c>
      <c r="E2038">
        <v>645</v>
      </c>
      <c r="F2038">
        <v>470</v>
      </c>
    </row>
    <row r="2039" spans="1:6" x14ac:dyDescent="0.2">
      <c r="A2039">
        <v>20200809</v>
      </c>
      <c r="B2039" t="s">
        <v>91</v>
      </c>
      <c r="C2039" t="s">
        <v>7</v>
      </c>
      <c r="D2039">
        <v>12</v>
      </c>
      <c r="E2039">
        <v>10</v>
      </c>
      <c r="F2039">
        <v>4</v>
      </c>
    </row>
    <row r="2040" spans="1:6" x14ac:dyDescent="0.2">
      <c r="A2040">
        <v>20200809</v>
      </c>
      <c r="B2040" t="s">
        <v>91</v>
      </c>
      <c r="C2040" t="s">
        <v>9</v>
      </c>
      <c r="D2040">
        <v>173</v>
      </c>
      <c r="E2040">
        <v>120</v>
      </c>
      <c r="F2040">
        <v>41</v>
      </c>
    </row>
    <row r="2041" spans="1:6" x14ac:dyDescent="0.2">
      <c r="A2041">
        <v>20200809</v>
      </c>
      <c r="B2041" t="s">
        <v>144</v>
      </c>
      <c r="C2041" t="s">
        <v>7</v>
      </c>
      <c r="D2041">
        <v>278</v>
      </c>
      <c r="E2041">
        <v>206</v>
      </c>
      <c r="F2041">
        <v>166</v>
      </c>
    </row>
    <row r="2042" spans="1:6" x14ac:dyDescent="0.2">
      <c r="A2042">
        <v>20200809</v>
      </c>
      <c r="B2042" t="s">
        <v>144</v>
      </c>
      <c r="C2042" t="s">
        <v>9</v>
      </c>
      <c r="D2042">
        <v>650</v>
      </c>
      <c r="E2042">
        <v>543</v>
      </c>
      <c r="F2042">
        <v>442</v>
      </c>
    </row>
    <row r="2043" spans="1:6" x14ac:dyDescent="0.2">
      <c r="A2043">
        <v>20200809</v>
      </c>
      <c r="B2043" t="s">
        <v>95</v>
      </c>
      <c r="C2043" t="s">
        <v>7</v>
      </c>
      <c r="D2043">
        <v>253</v>
      </c>
      <c r="E2043">
        <v>253</v>
      </c>
      <c r="F2043">
        <v>145</v>
      </c>
    </row>
    <row r="2044" spans="1:6" x14ac:dyDescent="0.2">
      <c r="A2044">
        <v>20200809</v>
      </c>
      <c r="B2044" t="s">
        <v>95</v>
      </c>
      <c r="C2044" t="s">
        <v>9</v>
      </c>
      <c r="D2044">
        <v>78</v>
      </c>
      <c r="E2044">
        <v>78</v>
      </c>
      <c r="F2044">
        <v>41</v>
      </c>
    </row>
    <row r="2045" spans="1:6" x14ac:dyDescent="0.2">
      <c r="A2045">
        <v>20200809</v>
      </c>
      <c r="B2045" t="s">
        <v>64</v>
      </c>
      <c r="C2045" t="s">
        <v>9</v>
      </c>
      <c r="D2045">
        <v>1225</v>
      </c>
      <c r="E2045">
        <v>1225</v>
      </c>
      <c r="F2045">
        <v>934</v>
      </c>
    </row>
    <row r="2046" spans="1:6" x14ac:dyDescent="0.2">
      <c r="A2046">
        <v>20200809</v>
      </c>
      <c r="B2046" t="s">
        <v>68</v>
      </c>
      <c r="C2046" t="s">
        <v>7</v>
      </c>
      <c r="D2046">
        <v>13</v>
      </c>
      <c r="E2046">
        <v>13</v>
      </c>
      <c r="F2046">
        <v>11</v>
      </c>
    </row>
    <row r="2047" spans="1:6" x14ac:dyDescent="0.2">
      <c r="A2047">
        <v>20200809</v>
      </c>
      <c r="B2047" t="s">
        <v>68</v>
      </c>
      <c r="C2047" t="s">
        <v>9</v>
      </c>
      <c r="D2047">
        <v>8609</v>
      </c>
      <c r="E2047">
        <v>8609</v>
      </c>
      <c r="F2047">
        <v>6873</v>
      </c>
    </row>
    <row r="2048" spans="1:6" x14ac:dyDescent="0.2">
      <c r="A2048">
        <v>20200809</v>
      </c>
      <c r="B2048" t="s">
        <v>85</v>
      </c>
      <c r="C2048" t="s">
        <v>9</v>
      </c>
      <c r="D2048">
        <v>1</v>
      </c>
      <c r="E2048">
        <v>1</v>
      </c>
      <c r="F2048">
        <v>0</v>
      </c>
    </row>
    <row r="2049" spans="1:6" x14ac:dyDescent="0.2">
      <c r="A2049">
        <v>20200809</v>
      </c>
      <c r="B2049" t="s">
        <v>126</v>
      </c>
      <c r="C2049" t="s">
        <v>9</v>
      </c>
      <c r="D2049">
        <v>1</v>
      </c>
      <c r="E2049">
        <v>1</v>
      </c>
      <c r="F2049">
        <v>0</v>
      </c>
    </row>
    <row r="2050" spans="1:6" x14ac:dyDescent="0.2">
      <c r="A2050">
        <v>20200809</v>
      </c>
      <c r="B2050" t="s">
        <v>13</v>
      </c>
      <c r="C2050" t="s">
        <v>9</v>
      </c>
      <c r="D2050">
        <v>763</v>
      </c>
      <c r="E2050">
        <v>763</v>
      </c>
      <c r="F2050">
        <v>560</v>
      </c>
    </row>
    <row r="2051" spans="1:6" x14ac:dyDescent="0.2">
      <c r="A2051">
        <v>20200809</v>
      </c>
      <c r="B2051" t="s">
        <v>70</v>
      </c>
      <c r="C2051" t="s">
        <v>9</v>
      </c>
      <c r="D2051">
        <v>1117</v>
      </c>
      <c r="E2051">
        <v>1117</v>
      </c>
      <c r="F2051">
        <v>830</v>
      </c>
    </row>
    <row r="2052" spans="1:6" x14ac:dyDescent="0.2">
      <c r="A2052">
        <v>20200809</v>
      </c>
      <c r="B2052" t="s">
        <v>89</v>
      </c>
      <c r="C2052" t="s">
        <v>9</v>
      </c>
      <c r="D2052">
        <v>1</v>
      </c>
      <c r="E2052">
        <v>1</v>
      </c>
      <c r="F2052">
        <v>0</v>
      </c>
    </row>
    <row r="2053" spans="1:6" x14ac:dyDescent="0.2">
      <c r="A2053">
        <v>20200809</v>
      </c>
      <c r="B2053" t="s">
        <v>32</v>
      </c>
      <c r="C2053" t="s">
        <v>9</v>
      </c>
      <c r="D2053">
        <v>1</v>
      </c>
      <c r="E2053">
        <v>1</v>
      </c>
      <c r="F2053">
        <v>0</v>
      </c>
    </row>
    <row r="2054" spans="1:6" x14ac:dyDescent="0.2">
      <c r="A2054">
        <v>20200809</v>
      </c>
      <c r="B2054" t="s">
        <v>100</v>
      </c>
      <c r="C2054" t="s">
        <v>7</v>
      </c>
      <c r="D2054">
        <v>533</v>
      </c>
      <c r="E2054">
        <v>533</v>
      </c>
      <c r="F2054">
        <v>292</v>
      </c>
    </row>
    <row r="2055" spans="1:6" x14ac:dyDescent="0.2">
      <c r="A2055">
        <v>20200809</v>
      </c>
      <c r="B2055" t="s">
        <v>100</v>
      </c>
      <c r="C2055" t="s">
        <v>9</v>
      </c>
      <c r="D2055">
        <v>674</v>
      </c>
      <c r="E2055">
        <v>674</v>
      </c>
      <c r="F2055">
        <v>377</v>
      </c>
    </row>
    <row r="2056" spans="1:6" x14ac:dyDescent="0.2">
      <c r="A2056">
        <v>20200809</v>
      </c>
      <c r="B2056" t="s">
        <v>112</v>
      </c>
      <c r="C2056" t="s">
        <v>9</v>
      </c>
      <c r="D2056">
        <v>2</v>
      </c>
      <c r="E2056">
        <v>2</v>
      </c>
      <c r="F2056">
        <v>0</v>
      </c>
    </row>
    <row r="2057" spans="1:6" x14ac:dyDescent="0.2">
      <c r="A2057">
        <v>20200809</v>
      </c>
      <c r="B2057" t="s">
        <v>26</v>
      </c>
      <c r="C2057" t="s">
        <v>9</v>
      </c>
      <c r="D2057">
        <v>1</v>
      </c>
      <c r="E2057">
        <v>1</v>
      </c>
      <c r="F2057">
        <v>0</v>
      </c>
    </row>
    <row r="2058" spans="1:6" x14ac:dyDescent="0.2">
      <c r="A2058">
        <v>20200809</v>
      </c>
      <c r="B2058" t="s">
        <v>59</v>
      </c>
      <c r="C2058" t="s">
        <v>9</v>
      </c>
      <c r="D2058">
        <v>1</v>
      </c>
      <c r="E2058">
        <v>1</v>
      </c>
      <c r="F2058">
        <v>0</v>
      </c>
    </row>
    <row r="2059" spans="1:6" x14ac:dyDescent="0.2">
      <c r="A2059">
        <v>20200809</v>
      </c>
      <c r="B2059" t="s">
        <v>121</v>
      </c>
      <c r="C2059" t="s">
        <v>7</v>
      </c>
      <c r="D2059">
        <v>1138</v>
      </c>
      <c r="E2059">
        <v>0</v>
      </c>
      <c r="F2059">
        <v>0</v>
      </c>
    </row>
    <row r="2060" spans="1:6" x14ac:dyDescent="0.2">
      <c r="A2060">
        <v>20200809</v>
      </c>
      <c r="B2060" t="s">
        <v>121</v>
      </c>
      <c r="C2060" t="s">
        <v>9</v>
      </c>
      <c r="D2060">
        <v>1165</v>
      </c>
      <c r="E2060">
        <v>0</v>
      </c>
      <c r="F2060">
        <v>0</v>
      </c>
    </row>
    <row r="2061" spans="1:6" x14ac:dyDescent="0.2">
      <c r="A2061">
        <v>20200809</v>
      </c>
      <c r="B2061" t="s">
        <v>127</v>
      </c>
      <c r="C2061" t="s">
        <v>7</v>
      </c>
      <c r="D2061">
        <v>923</v>
      </c>
      <c r="E2061">
        <v>923</v>
      </c>
      <c r="F2061">
        <v>621</v>
      </c>
    </row>
    <row r="2062" spans="1:6" x14ac:dyDescent="0.2">
      <c r="A2062">
        <v>20200809</v>
      </c>
      <c r="B2062" t="s">
        <v>127</v>
      </c>
      <c r="C2062" t="s">
        <v>9</v>
      </c>
      <c r="D2062">
        <v>670</v>
      </c>
      <c r="E2062">
        <v>670</v>
      </c>
      <c r="F2062">
        <v>484</v>
      </c>
    </row>
    <row r="2063" spans="1:6" x14ac:dyDescent="0.2">
      <c r="A2063">
        <v>20200809</v>
      </c>
      <c r="B2063" t="s">
        <v>105</v>
      </c>
      <c r="C2063" t="s">
        <v>7</v>
      </c>
      <c r="D2063">
        <v>488</v>
      </c>
      <c r="E2063">
        <v>2</v>
      </c>
      <c r="F2063">
        <v>0</v>
      </c>
    </row>
    <row r="2064" spans="1:6" x14ac:dyDescent="0.2">
      <c r="A2064">
        <v>20200809</v>
      </c>
      <c r="B2064" t="s">
        <v>105</v>
      </c>
      <c r="C2064" t="s">
        <v>9</v>
      </c>
      <c r="D2064">
        <v>470</v>
      </c>
      <c r="E2064">
        <v>14</v>
      </c>
      <c r="F2064">
        <v>2</v>
      </c>
    </row>
    <row r="2065" spans="1:6" x14ac:dyDescent="0.2">
      <c r="A2065">
        <v>20200809</v>
      </c>
      <c r="B2065" t="s">
        <v>106</v>
      </c>
      <c r="C2065" t="s">
        <v>7</v>
      </c>
      <c r="D2065">
        <v>3</v>
      </c>
      <c r="E2065">
        <v>0</v>
      </c>
      <c r="F2065">
        <v>0</v>
      </c>
    </row>
    <row r="2066" spans="1:6" x14ac:dyDescent="0.2">
      <c r="A2066">
        <v>20200809</v>
      </c>
      <c r="B2066" t="s">
        <v>106</v>
      </c>
      <c r="C2066" t="s">
        <v>9</v>
      </c>
      <c r="D2066">
        <v>4</v>
      </c>
      <c r="E2066">
        <v>0</v>
      </c>
      <c r="F2066">
        <v>0</v>
      </c>
    </row>
    <row r="2067" spans="1:6" x14ac:dyDescent="0.2">
      <c r="A2067">
        <v>20200809</v>
      </c>
      <c r="B2067" t="s">
        <v>75</v>
      </c>
      <c r="C2067" t="s">
        <v>9</v>
      </c>
      <c r="D2067">
        <v>854</v>
      </c>
      <c r="E2067">
        <v>854</v>
      </c>
      <c r="F2067">
        <v>532</v>
      </c>
    </row>
    <row r="2068" spans="1:6" x14ac:dyDescent="0.2">
      <c r="A2068">
        <v>20200809</v>
      </c>
      <c r="B2068" t="s">
        <v>137</v>
      </c>
      <c r="C2068" t="s">
        <v>9</v>
      </c>
      <c r="D2068">
        <v>1</v>
      </c>
      <c r="E2068">
        <v>1</v>
      </c>
      <c r="F2068">
        <v>0</v>
      </c>
    </row>
    <row r="2069" spans="1:6" x14ac:dyDescent="0.2">
      <c r="A2069">
        <v>20200809</v>
      </c>
      <c r="B2069" t="s">
        <v>43</v>
      </c>
      <c r="C2069" t="s">
        <v>9</v>
      </c>
      <c r="D2069">
        <v>36</v>
      </c>
      <c r="E2069">
        <v>36</v>
      </c>
      <c r="F2069">
        <v>20</v>
      </c>
    </row>
    <row r="2070" spans="1:6" x14ac:dyDescent="0.2">
      <c r="A2070">
        <v>20200809</v>
      </c>
      <c r="B2070" t="s">
        <v>8</v>
      </c>
      <c r="C2070" t="s">
        <v>9</v>
      </c>
      <c r="D2070">
        <v>2</v>
      </c>
      <c r="E2070">
        <v>2</v>
      </c>
      <c r="F2070">
        <v>0</v>
      </c>
    </row>
    <row r="2071" spans="1:6" x14ac:dyDescent="0.2">
      <c r="A2071">
        <v>20200809</v>
      </c>
      <c r="B2071" t="s">
        <v>87</v>
      </c>
      <c r="C2071" t="s">
        <v>9</v>
      </c>
      <c r="D2071">
        <v>7</v>
      </c>
      <c r="E2071">
        <v>7</v>
      </c>
      <c r="F2071">
        <v>5</v>
      </c>
    </row>
    <row r="2072" spans="1:6" x14ac:dyDescent="0.2">
      <c r="A2072">
        <v>20200809</v>
      </c>
      <c r="B2072" t="s">
        <v>167</v>
      </c>
      <c r="C2072" t="s">
        <v>7</v>
      </c>
      <c r="D2072">
        <v>13</v>
      </c>
      <c r="E2072">
        <v>7</v>
      </c>
      <c r="F2072">
        <v>0</v>
      </c>
    </row>
    <row r="2073" spans="1:6" x14ac:dyDescent="0.2">
      <c r="A2073">
        <v>20200809</v>
      </c>
      <c r="B2073" t="s">
        <v>167</v>
      </c>
      <c r="C2073" t="s">
        <v>9</v>
      </c>
      <c r="D2073">
        <v>2</v>
      </c>
      <c r="E2073">
        <v>2</v>
      </c>
      <c r="F2073">
        <v>0</v>
      </c>
    </row>
    <row r="2074" spans="1:6" x14ac:dyDescent="0.2">
      <c r="A2074">
        <v>20200809</v>
      </c>
      <c r="B2074" t="s">
        <v>170</v>
      </c>
      <c r="C2074" t="s">
        <v>7</v>
      </c>
      <c r="D2074">
        <v>658</v>
      </c>
      <c r="E2074">
        <v>448</v>
      </c>
      <c r="F2074">
        <v>173</v>
      </c>
    </row>
    <row r="2075" spans="1:6" x14ac:dyDescent="0.2">
      <c r="A2075">
        <v>20200809</v>
      </c>
      <c r="B2075" t="s">
        <v>170</v>
      </c>
      <c r="C2075" t="s">
        <v>9</v>
      </c>
      <c r="D2075">
        <v>735</v>
      </c>
      <c r="E2075">
        <v>595</v>
      </c>
      <c r="F2075">
        <v>208</v>
      </c>
    </row>
    <row r="2076" spans="1:6" x14ac:dyDescent="0.2">
      <c r="A2076">
        <v>20200809</v>
      </c>
      <c r="B2076" t="s">
        <v>109</v>
      </c>
      <c r="C2076" t="s">
        <v>9</v>
      </c>
      <c r="D2076">
        <v>2</v>
      </c>
      <c r="E2076">
        <v>2</v>
      </c>
      <c r="F2076">
        <v>0</v>
      </c>
    </row>
    <row r="2077" spans="1:6" x14ac:dyDescent="0.2">
      <c r="A2077">
        <v>20200809</v>
      </c>
      <c r="B2077" t="s">
        <v>60</v>
      </c>
      <c r="C2077" t="s">
        <v>9</v>
      </c>
      <c r="D2077">
        <v>1</v>
      </c>
      <c r="E2077">
        <v>1</v>
      </c>
      <c r="F2077">
        <v>0</v>
      </c>
    </row>
    <row r="2078" spans="1:6" x14ac:dyDescent="0.2">
      <c r="A2078">
        <v>20200809</v>
      </c>
      <c r="B2078" t="s">
        <v>78</v>
      </c>
      <c r="C2078" t="s">
        <v>7</v>
      </c>
      <c r="D2078">
        <v>792</v>
      </c>
      <c r="E2078">
        <v>792</v>
      </c>
      <c r="F2078">
        <v>391</v>
      </c>
    </row>
    <row r="2079" spans="1:6" x14ac:dyDescent="0.2">
      <c r="A2079">
        <v>20200809</v>
      </c>
      <c r="B2079" t="s">
        <v>78</v>
      </c>
      <c r="C2079" t="s">
        <v>9</v>
      </c>
      <c r="D2079">
        <v>337</v>
      </c>
      <c r="E2079">
        <v>337</v>
      </c>
      <c r="F2079">
        <v>250</v>
      </c>
    </row>
    <row r="2080" spans="1:6" x14ac:dyDescent="0.2">
      <c r="A2080">
        <v>20200809</v>
      </c>
      <c r="B2080" t="s">
        <v>83</v>
      </c>
      <c r="C2080" t="s">
        <v>9</v>
      </c>
      <c r="D2080">
        <v>465</v>
      </c>
      <c r="E2080">
        <v>465</v>
      </c>
      <c r="F2080">
        <v>243</v>
      </c>
    </row>
    <row r="2081" spans="1:6" x14ac:dyDescent="0.2">
      <c r="A2081">
        <v>20200809</v>
      </c>
      <c r="B2081" t="s">
        <v>42</v>
      </c>
      <c r="C2081" t="s">
        <v>9</v>
      </c>
      <c r="D2081">
        <v>2</v>
      </c>
      <c r="E2081">
        <v>2</v>
      </c>
      <c r="F2081">
        <v>0</v>
      </c>
    </row>
    <row r="2082" spans="1:6" x14ac:dyDescent="0.2">
      <c r="A2082">
        <v>20200809</v>
      </c>
      <c r="B2082" t="s">
        <v>136</v>
      </c>
      <c r="C2082" t="s">
        <v>7</v>
      </c>
      <c r="D2082">
        <v>1211</v>
      </c>
      <c r="E2082">
        <v>856</v>
      </c>
      <c r="F2082">
        <v>297</v>
      </c>
    </row>
    <row r="2083" spans="1:6" x14ac:dyDescent="0.2">
      <c r="A2083">
        <v>20200809</v>
      </c>
      <c r="B2083" t="s">
        <v>136</v>
      </c>
      <c r="C2083" t="s">
        <v>9</v>
      </c>
      <c r="D2083">
        <v>929</v>
      </c>
      <c r="E2083">
        <v>678</v>
      </c>
      <c r="F2083">
        <v>275</v>
      </c>
    </row>
    <row r="2084" spans="1:6" x14ac:dyDescent="0.2">
      <c r="A2084">
        <v>20200809</v>
      </c>
      <c r="B2084" t="s">
        <v>48</v>
      </c>
      <c r="C2084" t="s">
        <v>9</v>
      </c>
      <c r="D2084">
        <v>804</v>
      </c>
      <c r="E2084">
        <v>804</v>
      </c>
      <c r="F2084">
        <v>526</v>
      </c>
    </row>
    <row r="2085" spans="1:6" x14ac:dyDescent="0.2">
      <c r="A2085">
        <v>20200809</v>
      </c>
      <c r="B2085" t="s">
        <v>93</v>
      </c>
      <c r="C2085" t="s">
        <v>9</v>
      </c>
      <c r="D2085">
        <v>665</v>
      </c>
      <c r="E2085">
        <v>665</v>
      </c>
      <c r="F2085">
        <v>489</v>
      </c>
    </row>
    <row r="2086" spans="1:6" x14ac:dyDescent="0.2">
      <c r="A2086">
        <v>20200809</v>
      </c>
      <c r="B2086" t="s">
        <v>67</v>
      </c>
      <c r="C2086" t="s">
        <v>9</v>
      </c>
      <c r="D2086">
        <v>2</v>
      </c>
      <c r="E2086">
        <v>2</v>
      </c>
      <c r="F2086">
        <v>0</v>
      </c>
    </row>
    <row r="2087" spans="1:6" x14ac:dyDescent="0.2">
      <c r="A2087">
        <v>20200809</v>
      </c>
      <c r="B2087" t="s">
        <v>22</v>
      </c>
      <c r="C2087" t="s">
        <v>7</v>
      </c>
      <c r="D2087">
        <v>1349</v>
      </c>
      <c r="E2087">
        <v>1349</v>
      </c>
      <c r="F2087">
        <v>982</v>
      </c>
    </row>
    <row r="2088" spans="1:6" x14ac:dyDescent="0.2">
      <c r="A2088">
        <v>20200809</v>
      </c>
      <c r="B2088" t="s">
        <v>22</v>
      </c>
      <c r="C2088" t="s">
        <v>9</v>
      </c>
      <c r="D2088">
        <v>1985</v>
      </c>
      <c r="E2088">
        <v>1985</v>
      </c>
      <c r="F2088">
        <v>1568</v>
      </c>
    </row>
    <row r="2089" spans="1:6" x14ac:dyDescent="0.2">
      <c r="A2089">
        <v>20200809</v>
      </c>
      <c r="B2089" t="s">
        <v>55</v>
      </c>
      <c r="C2089" t="s">
        <v>9</v>
      </c>
      <c r="D2089">
        <v>1110</v>
      </c>
      <c r="E2089">
        <v>1110</v>
      </c>
      <c r="F2089">
        <v>812</v>
      </c>
    </row>
    <row r="2090" spans="1:6" x14ac:dyDescent="0.2">
      <c r="A2090">
        <v>20200809</v>
      </c>
      <c r="B2090" t="s">
        <v>150</v>
      </c>
      <c r="C2090" t="s">
        <v>7</v>
      </c>
      <c r="D2090">
        <v>10</v>
      </c>
      <c r="E2090">
        <v>8</v>
      </c>
      <c r="F2090">
        <v>4</v>
      </c>
    </row>
    <row r="2091" spans="1:6" x14ac:dyDescent="0.2">
      <c r="A2091">
        <v>20200809</v>
      </c>
      <c r="B2091" t="s">
        <v>150</v>
      </c>
      <c r="C2091" t="s">
        <v>9</v>
      </c>
      <c r="D2091">
        <v>358</v>
      </c>
      <c r="E2091">
        <v>240</v>
      </c>
      <c r="F2091">
        <v>104</v>
      </c>
    </row>
    <row r="2092" spans="1:6" x14ac:dyDescent="0.2">
      <c r="A2092">
        <v>20200809</v>
      </c>
      <c r="B2092" t="s">
        <v>90</v>
      </c>
      <c r="C2092" t="s">
        <v>7</v>
      </c>
      <c r="D2092">
        <v>2896</v>
      </c>
      <c r="E2092">
        <v>1419</v>
      </c>
      <c r="F2092">
        <v>669</v>
      </c>
    </row>
    <row r="2093" spans="1:6" x14ac:dyDescent="0.2">
      <c r="A2093">
        <v>20200809</v>
      </c>
      <c r="B2093" t="s">
        <v>90</v>
      </c>
      <c r="C2093" t="s">
        <v>9</v>
      </c>
      <c r="D2093">
        <v>2161</v>
      </c>
      <c r="E2093">
        <v>593</v>
      </c>
      <c r="F2093">
        <v>266</v>
      </c>
    </row>
    <row r="2094" spans="1:6" x14ac:dyDescent="0.2">
      <c r="A2094">
        <v>20200809</v>
      </c>
      <c r="B2094" t="s">
        <v>131</v>
      </c>
      <c r="C2094" t="s">
        <v>7</v>
      </c>
      <c r="D2094">
        <v>364</v>
      </c>
      <c r="E2094">
        <v>364</v>
      </c>
      <c r="F2094">
        <v>215</v>
      </c>
    </row>
    <row r="2095" spans="1:6" x14ac:dyDescent="0.2">
      <c r="A2095">
        <v>20200809</v>
      </c>
      <c r="B2095" t="s">
        <v>131</v>
      </c>
      <c r="C2095" t="s">
        <v>9</v>
      </c>
      <c r="D2095">
        <v>395</v>
      </c>
      <c r="E2095">
        <v>395</v>
      </c>
      <c r="F2095">
        <v>229</v>
      </c>
    </row>
    <row r="2096" spans="1:6" x14ac:dyDescent="0.2">
      <c r="A2096">
        <v>20200809</v>
      </c>
      <c r="B2096" t="s">
        <v>10</v>
      </c>
      <c r="C2096" t="s">
        <v>9</v>
      </c>
      <c r="D2096">
        <v>1</v>
      </c>
      <c r="E2096">
        <v>1</v>
      </c>
      <c r="F2096">
        <v>0</v>
      </c>
    </row>
    <row r="2097" spans="1:6" x14ac:dyDescent="0.2">
      <c r="A2097">
        <v>20200809</v>
      </c>
      <c r="B2097" t="s">
        <v>111</v>
      </c>
      <c r="C2097" t="s">
        <v>9</v>
      </c>
      <c r="D2097">
        <v>304</v>
      </c>
      <c r="E2097">
        <v>304</v>
      </c>
      <c r="F2097">
        <v>199</v>
      </c>
    </row>
    <row r="2098" spans="1:6" x14ac:dyDescent="0.2">
      <c r="A2098">
        <v>20200809</v>
      </c>
      <c r="B2098" t="s">
        <v>98</v>
      </c>
      <c r="C2098" t="s">
        <v>9</v>
      </c>
      <c r="D2098">
        <v>846</v>
      </c>
      <c r="E2098">
        <v>593</v>
      </c>
      <c r="F2098">
        <v>289</v>
      </c>
    </row>
    <row r="2099" spans="1:6" x14ac:dyDescent="0.2">
      <c r="A2099">
        <v>20200809</v>
      </c>
      <c r="B2099" t="s">
        <v>46</v>
      </c>
      <c r="C2099" t="s">
        <v>7</v>
      </c>
      <c r="D2099">
        <v>5</v>
      </c>
      <c r="E2099">
        <v>5</v>
      </c>
      <c r="F2099">
        <v>3</v>
      </c>
    </row>
    <row r="2100" spans="1:6" x14ac:dyDescent="0.2">
      <c r="A2100">
        <v>20200809</v>
      </c>
      <c r="B2100" t="s">
        <v>46</v>
      </c>
      <c r="C2100" t="s">
        <v>9</v>
      </c>
      <c r="D2100">
        <v>136</v>
      </c>
      <c r="E2100">
        <v>136</v>
      </c>
      <c r="F2100">
        <v>111</v>
      </c>
    </row>
    <row r="2101" spans="1:6" x14ac:dyDescent="0.2">
      <c r="A2101">
        <v>20200809</v>
      </c>
      <c r="C2101" t="s">
        <v>7</v>
      </c>
      <c r="D2101">
        <v>11691</v>
      </c>
      <c r="E2101">
        <v>0</v>
      </c>
      <c r="F2101">
        <v>0</v>
      </c>
    </row>
    <row r="2102" spans="1:6" x14ac:dyDescent="0.2">
      <c r="A2102">
        <v>20200809</v>
      </c>
      <c r="C2102" t="s">
        <v>9</v>
      </c>
      <c r="D2102">
        <v>13630</v>
      </c>
      <c r="E2102">
        <v>0</v>
      </c>
      <c r="F2102">
        <v>0</v>
      </c>
    </row>
    <row r="2103" spans="1:6" x14ac:dyDescent="0.2">
      <c r="A2103">
        <v>20200810</v>
      </c>
      <c r="B2103" t="s">
        <v>82</v>
      </c>
      <c r="C2103" t="s">
        <v>7</v>
      </c>
      <c r="D2103">
        <v>2752</v>
      </c>
      <c r="E2103">
        <v>2752</v>
      </c>
      <c r="F2103">
        <v>1859</v>
      </c>
    </row>
    <row r="2104" spans="1:6" x14ac:dyDescent="0.2">
      <c r="A2104">
        <v>20200810</v>
      </c>
      <c r="B2104" t="s">
        <v>82</v>
      </c>
      <c r="C2104" t="s">
        <v>9</v>
      </c>
      <c r="D2104">
        <v>2003</v>
      </c>
      <c r="E2104">
        <v>2003</v>
      </c>
      <c r="F2104">
        <v>1432</v>
      </c>
    </row>
    <row r="2105" spans="1:6" x14ac:dyDescent="0.2">
      <c r="A2105">
        <v>20200810</v>
      </c>
      <c r="B2105" t="s">
        <v>34</v>
      </c>
      <c r="C2105" t="s">
        <v>7</v>
      </c>
      <c r="D2105">
        <v>1</v>
      </c>
      <c r="E2105">
        <v>1</v>
      </c>
      <c r="F2105">
        <v>0</v>
      </c>
    </row>
    <row r="2106" spans="1:6" x14ac:dyDescent="0.2">
      <c r="A2106">
        <v>20200810</v>
      </c>
      <c r="B2106" t="s">
        <v>34</v>
      </c>
      <c r="C2106" t="s">
        <v>9</v>
      </c>
      <c r="D2106">
        <v>135</v>
      </c>
      <c r="E2106">
        <v>81</v>
      </c>
      <c r="F2106">
        <v>43</v>
      </c>
    </row>
    <row r="2107" spans="1:6" x14ac:dyDescent="0.2">
      <c r="A2107">
        <v>20200810</v>
      </c>
      <c r="B2107" t="s">
        <v>94</v>
      </c>
      <c r="C2107" t="s">
        <v>9</v>
      </c>
      <c r="D2107">
        <v>68</v>
      </c>
      <c r="E2107">
        <v>68</v>
      </c>
      <c r="F2107">
        <v>40</v>
      </c>
    </row>
    <row r="2108" spans="1:6" x14ac:dyDescent="0.2">
      <c r="A2108">
        <v>20200810</v>
      </c>
      <c r="B2108" t="s">
        <v>45</v>
      </c>
      <c r="C2108" t="s">
        <v>7</v>
      </c>
      <c r="D2108">
        <v>1806</v>
      </c>
      <c r="E2108">
        <v>6</v>
      </c>
      <c r="F2108">
        <v>3</v>
      </c>
    </row>
    <row r="2109" spans="1:6" x14ac:dyDescent="0.2">
      <c r="A2109">
        <v>20200810</v>
      </c>
      <c r="B2109" t="s">
        <v>45</v>
      </c>
      <c r="C2109" t="s">
        <v>9</v>
      </c>
      <c r="D2109">
        <v>1739</v>
      </c>
      <c r="E2109">
        <v>3</v>
      </c>
      <c r="F2109">
        <v>0</v>
      </c>
    </row>
    <row r="2110" spans="1:6" x14ac:dyDescent="0.2">
      <c r="A2110">
        <v>20200810</v>
      </c>
      <c r="B2110" t="s">
        <v>69</v>
      </c>
      <c r="C2110" t="s">
        <v>7</v>
      </c>
      <c r="D2110">
        <v>605</v>
      </c>
      <c r="E2110">
        <v>2</v>
      </c>
      <c r="F2110">
        <v>1</v>
      </c>
    </row>
    <row r="2111" spans="1:6" x14ac:dyDescent="0.2">
      <c r="A2111">
        <v>20200810</v>
      </c>
      <c r="B2111" t="s">
        <v>69</v>
      </c>
      <c r="C2111" t="s">
        <v>9</v>
      </c>
      <c r="D2111">
        <v>603</v>
      </c>
      <c r="E2111">
        <v>3</v>
      </c>
      <c r="F2111">
        <v>3</v>
      </c>
    </row>
    <row r="2112" spans="1:6" x14ac:dyDescent="0.2">
      <c r="A2112">
        <v>20200810</v>
      </c>
      <c r="B2112" t="s">
        <v>123</v>
      </c>
      <c r="C2112" t="s">
        <v>7</v>
      </c>
      <c r="D2112">
        <v>1496</v>
      </c>
      <c r="E2112">
        <v>3</v>
      </c>
      <c r="F2112">
        <v>1</v>
      </c>
    </row>
    <row r="2113" spans="1:6" x14ac:dyDescent="0.2">
      <c r="A2113">
        <v>20200810</v>
      </c>
      <c r="B2113" t="s">
        <v>123</v>
      </c>
      <c r="C2113" t="s">
        <v>9</v>
      </c>
      <c r="D2113">
        <v>1426</v>
      </c>
      <c r="E2113">
        <v>6</v>
      </c>
      <c r="F2113">
        <v>3</v>
      </c>
    </row>
    <row r="2114" spans="1:6" x14ac:dyDescent="0.2">
      <c r="A2114">
        <v>20200810</v>
      </c>
      <c r="B2114" t="s">
        <v>101</v>
      </c>
      <c r="C2114" t="s">
        <v>7</v>
      </c>
      <c r="D2114">
        <v>1516</v>
      </c>
      <c r="E2114">
        <v>1</v>
      </c>
      <c r="F2114">
        <v>0</v>
      </c>
    </row>
    <row r="2115" spans="1:6" x14ac:dyDescent="0.2">
      <c r="A2115">
        <v>20200810</v>
      </c>
      <c r="B2115" t="s">
        <v>101</v>
      </c>
      <c r="C2115" t="s">
        <v>9</v>
      </c>
      <c r="D2115">
        <v>1570</v>
      </c>
      <c r="E2115">
        <v>2</v>
      </c>
      <c r="F2115">
        <v>1</v>
      </c>
    </row>
    <row r="2116" spans="1:6" x14ac:dyDescent="0.2">
      <c r="A2116">
        <v>20200810</v>
      </c>
      <c r="B2116" t="s">
        <v>11</v>
      </c>
      <c r="C2116" t="s">
        <v>7</v>
      </c>
      <c r="D2116">
        <v>11371</v>
      </c>
      <c r="E2116">
        <v>1</v>
      </c>
      <c r="F2116">
        <v>0</v>
      </c>
    </row>
    <row r="2117" spans="1:6" x14ac:dyDescent="0.2">
      <c r="A2117">
        <v>20200810</v>
      </c>
      <c r="B2117" t="s">
        <v>11</v>
      </c>
      <c r="C2117" t="s">
        <v>9</v>
      </c>
      <c r="D2117">
        <v>11373</v>
      </c>
      <c r="E2117">
        <v>1</v>
      </c>
      <c r="F2117">
        <v>0</v>
      </c>
    </row>
    <row r="2118" spans="1:6" x14ac:dyDescent="0.2">
      <c r="A2118">
        <v>20200810</v>
      </c>
      <c r="B2118" t="s">
        <v>16</v>
      </c>
      <c r="C2118" t="s">
        <v>7</v>
      </c>
      <c r="D2118">
        <v>440</v>
      </c>
      <c r="E2118">
        <v>440</v>
      </c>
      <c r="F2118">
        <v>293</v>
      </c>
    </row>
    <row r="2119" spans="1:6" x14ac:dyDescent="0.2">
      <c r="A2119">
        <v>20200810</v>
      </c>
      <c r="B2119" t="s">
        <v>16</v>
      </c>
      <c r="C2119" t="s">
        <v>9</v>
      </c>
      <c r="D2119">
        <v>433</v>
      </c>
      <c r="E2119">
        <v>433</v>
      </c>
      <c r="F2119">
        <v>312</v>
      </c>
    </row>
    <row r="2120" spans="1:6" x14ac:dyDescent="0.2">
      <c r="A2120">
        <v>20200810</v>
      </c>
      <c r="B2120" t="s">
        <v>120</v>
      </c>
      <c r="C2120" t="s">
        <v>9</v>
      </c>
      <c r="D2120">
        <v>1</v>
      </c>
      <c r="E2120">
        <v>1</v>
      </c>
      <c r="F2120">
        <v>0</v>
      </c>
    </row>
    <row r="2121" spans="1:6" x14ac:dyDescent="0.2">
      <c r="A2121">
        <v>20200810</v>
      </c>
      <c r="B2121" t="s">
        <v>6</v>
      </c>
      <c r="C2121" t="s">
        <v>7</v>
      </c>
      <c r="D2121">
        <v>127</v>
      </c>
      <c r="E2121">
        <v>127</v>
      </c>
      <c r="F2121">
        <v>66</v>
      </c>
    </row>
    <row r="2122" spans="1:6" x14ac:dyDescent="0.2">
      <c r="A2122">
        <v>20200810</v>
      </c>
      <c r="B2122" t="s">
        <v>6</v>
      </c>
      <c r="C2122" t="s">
        <v>9</v>
      </c>
      <c r="D2122">
        <v>769</v>
      </c>
      <c r="E2122">
        <v>769</v>
      </c>
      <c r="F2122">
        <v>420</v>
      </c>
    </row>
    <row r="2123" spans="1:6" x14ac:dyDescent="0.2">
      <c r="A2123">
        <v>20200810</v>
      </c>
      <c r="B2123" t="s">
        <v>119</v>
      </c>
      <c r="C2123" t="s">
        <v>9</v>
      </c>
      <c r="D2123">
        <v>816</v>
      </c>
      <c r="E2123">
        <v>816</v>
      </c>
      <c r="F2123">
        <v>367</v>
      </c>
    </row>
    <row r="2124" spans="1:6" x14ac:dyDescent="0.2">
      <c r="A2124">
        <v>20200810</v>
      </c>
      <c r="B2124" t="s">
        <v>88</v>
      </c>
      <c r="C2124" t="s">
        <v>9</v>
      </c>
      <c r="D2124">
        <v>56</v>
      </c>
      <c r="E2124">
        <v>56</v>
      </c>
      <c r="F2124">
        <v>38</v>
      </c>
    </row>
    <row r="2125" spans="1:6" x14ac:dyDescent="0.2">
      <c r="A2125">
        <v>20200810</v>
      </c>
      <c r="B2125" t="s">
        <v>35</v>
      </c>
      <c r="C2125" t="s">
        <v>9</v>
      </c>
      <c r="D2125">
        <v>153</v>
      </c>
      <c r="E2125">
        <v>153</v>
      </c>
      <c r="F2125">
        <v>83</v>
      </c>
    </row>
    <row r="2126" spans="1:6" x14ac:dyDescent="0.2">
      <c r="A2126">
        <v>20200810</v>
      </c>
      <c r="B2126" t="s">
        <v>20</v>
      </c>
      <c r="C2126" t="s">
        <v>7</v>
      </c>
      <c r="D2126">
        <v>316</v>
      </c>
      <c r="E2126">
        <v>141</v>
      </c>
      <c r="F2126">
        <v>71</v>
      </c>
    </row>
    <row r="2127" spans="1:6" x14ac:dyDescent="0.2">
      <c r="A2127">
        <v>20200810</v>
      </c>
      <c r="B2127" t="s">
        <v>20</v>
      </c>
      <c r="C2127" t="s">
        <v>9</v>
      </c>
      <c r="D2127">
        <v>377</v>
      </c>
      <c r="E2127">
        <v>188</v>
      </c>
      <c r="F2127">
        <v>104</v>
      </c>
    </row>
    <row r="2128" spans="1:6" x14ac:dyDescent="0.2">
      <c r="A2128">
        <v>20200810</v>
      </c>
      <c r="B2128" t="s">
        <v>49</v>
      </c>
      <c r="C2128" t="s">
        <v>7</v>
      </c>
      <c r="D2128">
        <v>1392</v>
      </c>
      <c r="E2128">
        <v>17</v>
      </c>
      <c r="F2128">
        <v>15</v>
      </c>
    </row>
    <row r="2129" spans="1:6" x14ac:dyDescent="0.2">
      <c r="A2129">
        <v>20200810</v>
      </c>
      <c r="B2129" t="s">
        <v>49</v>
      </c>
      <c r="C2129" t="s">
        <v>9</v>
      </c>
      <c r="D2129">
        <v>1353</v>
      </c>
      <c r="E2129">
        <v>19</v>
      </c>
      <c r="F2129">
        <v>17</v>
      </c>
    </row>
    <row r="2130" spans="1:6" x14ac:dyDescent="0.2">
      <c r="A2130">
        <v>20200810</v>
      </c>
      <c r="B2130" t="s">
        <v>149</v>
      </c>
      <c r="C2130" t="s">
        <v>9</v>
      </c>
      <c r="D2130">
        <v>1</v>
      </c>
      <c r="E2130">
        <v>0</v>
      </c>
      <c r="F2130">
        <v>0</v>
      </c>
    </row>
    <row r="2131" spans="1:6" x14ac:dyDescent="0.2">
      <c r="A2131">
        <v>20200810</v>
      </c>
      <c r="B2131" t="s">
        <v>38</v>
      </c>
      <c r="C2131" t="s">
        <v>7</v>
      </c>
      <c r="D2131">
        <v>1076</v>
      </c>
      <c r="E2131">
        <v>1076</v>
      </c>
      <c r="F2131">
        <v>583</v>
      </c>
    </row>
    <row r="2132" spans="1:6" x14ac:dyDescent="0.2">
      <c r="A2132">
        <v>20200810</v>
      </c>
      <c r="B2132" t="s">
        <v>38</v>
      </c>
      <c r="C2132" t="s">
        <v>9</v>
      </c>
      <c r="D2132">
        <v>518</v>
      </c>
      <c r="E2132">
        <v>518</v>
      </c>
      <c r="F2132">
        <v>298</v>
      </c>
    </row>
    <row r="2133" spans="1:6" x14ac:dyDescent="0.2">
      <c r="A2133">
        <v>20200810</v>
      </c>
      <c r="B2133" t="s">
        <v>39</v>
      </c>
      <c r="C2133" t="s">
        <v>7</v>
      </c>
      <c r="D2133">
        <v>1891</v>
      </c>
      <c r="E2133">
        <v>1891</v>
      </c>
      <c r="F2133">
        <v>1239</v>
      </c>
    </row>
    <row r="2134" spans="1:6" x14ac:dyDescent="0.2">
      <c r="A2134">
        <v>20200810</v>
      </c>
      <c r="B2134" t="s">
        <v>39</v>
      </c>
      <c r="C2134" t="s">
        <v>9</v>
      </c>
      <c r="D2134">
        <v>1264</v>
      </c>
      <c r="E2134">
        <v>1264</v>
      </c>
      <c r="F2134">
        <v>884</v>
      </c>
    </row>
    <row r="2135" spans="1:6" x14ac:dyDescent="0.2">
      <c r="A2135">
        <v>20200810</v>
      </c>
      <c r="B2135" t="s">
        <v>108</v>
      </c>
      <c r="C2135" t="s">
        <v>7</v>
      </c>
      <c r="D2135">
        <v>3178</v>
      </c>
      <c r="E2135">
        <v>3178</v>
      </c>
      <c r="F2135">
        <v>2169</v>
      </c>
    </row>
    <row r="2136" spans="1:6" x14ac:dyDescent="0.2">
      <c r="A2136">
        <v>20200810</v>
      </c>
      <c r="B2136" t="s">
        <v>108</v>
      </c>
      <c r="C2136" t="s">
        <v>9</v>
      </c>
      <c r="D2136">
        <v>2224</v>
      </c>
      <c r="E2136">
        <v>2224</v>
      </c>
      <c r="F2136">
        <v>1606</v>
      </c>
    </row>
    <row r="2137" spans="1:6" x14ac:dyDescent="0.2">
      <c r="A2137">
        <v>20200810</v>
      </c>
      <c r="B2137" t="s">
        <v>44</v>
      </c>
      <c r="C2137" t="s">
        <v>9</v>
      </c>
      <c r="D2137">
        <v>1</v>
      </c>
      <c r="E2137">
        <v>1</v>
      </c>
      <c r="F2137">
        <v>0</v>
      </c>
    </row>
    <row r="2138" spans="1:6" x14ac:dyDescent="0.2">
      <c r="A2138">
        <v>20200810</v>
      </c>
      <c r="B2138" t="s">
        <v>97</v>
      </c>
      <c r="C2138" t="s">
        <v>9</v>
      </c>
      <c r="D2138">
        <v>1</v>
      </c>
      <c r="E2138">
        <v>1</v>
      </c>
      <c r="F2138">
        <v>0</v>
      </c>
    </row>
    <row r="2139" spans="1:6" x14ac:dyDescent="0.2">
      <c r="A2139">
        <v>20200810</v>
      </c>
      <c r="B2139" t="s">
        <v>76</v>
      </c>
      <c r="C2139" t="s">
        <v>9</v>
      </c>
      <c r="D2139">
        <v>637</v>
      </c>
      <c r="E2139">
        <v>637</v>
      </c>
      <c r="F2139">
        <v>482</v>
      </c>
    </row>
    <row r="2140" spans="1:6" x14ac:dyDescent="0.2">
      <c r="A2140">
        <v>20200810</v>
      </c>
      <c r="B2140" t="s">
        <v>91</v>
      </c>
      <c r="C2140" t="s">
        <v>9</v>
      </c>
      <c r="D2140">
        <v>8</v>
      </c>
      <c r="E2140">
        <v>5</v>
      </c>
      <c r="F2140">
        <v>1</v>
      </c>
    </row>
    <row r="2141" spans="1:6" x14ac:dyDescent="0.2">
      <c r="A2141">
        <v>20200810</v>
      </c>
      <c r="B2141" t="s">
        <v>144</v>
      </c>
      <c r="C2141" t="s">
        <v>7</v>
      </c>
      <c r="D2141">
        <v>2</v>
      </c>
      <c r="E2141">
        <v>1</v>
      </c>
      <c r="F2141">
        <v>1</v>
      </c>
    </row>
    <row r="2142" spans="1:6" x14ac:dyDescent="0.2">
      <c r="A2142">
        <v>20200810</v>
      </c>
      <c r="B2142" t="s">
        <v>144</v>
      </c>
      <c r="C2142" t="s">
        <v>9</v>
      </c>
      <c r="D2142">
        <v>383</v>
      </c>
      <c r="E2142">
        <v>327</v>
      </c>
      <c r="F2142">
        <v>254</v>
      </c>
    </row>
    <row r="2143" spans="1:6" x14ac:dyDescent="0.2">
      <c r="A2143">
        <v>20200810</v>
      </c>
      <c r="B2143" t="s">
        <v>95</v>
      </c>
      <c r="C2143" t="s">
        <v>7</v>
      </c>
      <c r="D2143">
        <v>249</v>
      </c>
      <c r="E2143">
        <v>249</v>
      </c>
      <c r="F2143">
        <v>142</v>
      </c>
    </row>
    <row r="2144" spans="1:6" x14ac:dyDescent="0.2">
      <c r="A2144">
        <v>20200810</v>
      </c>
      <c r="B2144" t="s">
        <v>95</v>
      </c>
      <c r="C2144" t="s">
        <v>9</v>
      </c>
      <c r="D2144">
        <v>142</v>
      </c>
      <c r="E2144">
        <v>142</v>
      </c>
      <c r="F2144">
        <v>88</v>
      </c>
    </row>
    <row r="2145" spans="1:6" x14ac:dyDescent="0.2">
      <c r="A2145">
        <v>20200810</v>
      </c>
      <c r="B2145" t="s">
        <v>64</v>
      </c>
      <c r="C2145" t="s">
        <v>9</v>
      </c>
      <c r="D2145">
        <v>1073</v>
      </c>
      <c r="E2145">
        <v>1073</v>
      </c>
      <c r="F2145">
        <v>831</v>
      </c>
    </row>
    <row r="2146" spans="1:6" x14ac:dyDescent="0.2">
      <c r="A2146">
        <v>20200810</v>
      </c>
      <c r="B2146" t="s">
        <v>68</v>
      </c>
      <c r="C2146" t="s">
        <v>7</v>
      </c>
      <c r="D2146">
        <v>3994</v>
      </c>
      <c r="E2146">
        <v>3994</v>
      </c>
      <c r="F2146">
        <v>2627</v>
      </c>
    </row>
    <row r="2147" spans="1:6" x14ac:dyDescent="0.2">
      <c r="A2147">
        <v>20200810</v>
      </c>
      <c r="B2147" t="s">
        <v>68</v>
      </c>
      <c r="C2147" t="s">
        <v>9</v>
      </c>
      <c r="D2147">
        <v>10399</v>
      </c>
      <c r="E2147">
        <v>10399</v>
      </c>
      <c r="F2147">
        <v>7869</v>
      </c>
    </row>
    <row r="2148" spans="1:6" x14ac:dyDescent="0.2">
      <c r="A2148">
        <v>20200810</v>
      </c>
      <c r="B2148" t="s">
        <v>85</v>
      </c>
      <c r="C2148" t="s">
        <v>9</v>
      </c>
      <c r="D2148">
        <v>1</v>
      </c>
      <c r="E2148">
        <v>1</v>
      </c>
      <c r="F2148">
        <v>0</v>
      </c>
    </row>
    <row r="2149" spans="1:6" x14ac:dyDescent="0.2">
      <c r="A2149">
        <v>20200810</v>
      </c>
      <c r="B2149" t="s">
        <v>126</v>
      </c>
      <c r="C2149" t="s">
        <v>9</v>
      </c>
      <c r="D2149">
        <v>1</v>
      </c>
      <c r="E2149">
        <v>1</v>
      </c>
      <c r="F2149">
        <v>0</v>
      </c>
    </row>
    <row r="2150" spans="1:6" x14ac:dyDescent="0.2">
      <c r="A2150">
        <v>20200810</v>
      </c>
      <c r="B2150" t="s">
        <v>13</v>
      </c>
      <c r="C2150" t="s">
        <v>9</v>
      </c>
      <c r="D2150">
        <v>698</v>
      </c>
      <c r="E2150">
        <v>698</v>
      </c>
      <c r="F2150">
        <v>498</v>
      </c>
    </row>
    <row r="2151" spans="1:6" x14ac:dyDescent="0.2">
      <c r="A2151">
        <v>20200810</v>
      </c>
      <c r="B2151" t="s">
        <v>70</v>
      </c>
      <c r="C2151" t="s">
        <v>7</v>
      </c>
      <c r="D2151">
        <v>2</v>
      </c>
      <c r="E2151">
        <v>2</v>
      </c>
      <c r="F2151">
        <v>2</v>
      </c>
    </row>
    <row r="2152" spans="1:6" x14ac:dyDescent="0.2">
      <c r="A2152">
        <v>20200810</v>
      </c>
      <c r="B2152" t="s">
        <v>70</v>
      </c>
      <c r="C2152" t="s">
        <v>9</v>
      </c>
      <c r="D2152">
        <v>910</v>
      </c>
      <c r="E2152">
        <v>910</v>
      </c>
      <c r="F2152">
        <v>691</v>
      </c>
    </row>
    <row r="2153" spans="1:6" x14ac:dyDescent="0.2">
      <c r="A2153">
        <v>20200810</v>
      </c>
      <c r="B2153" t="s">
        <v>122</v>
      </c>
      <c r="C2153" t="s">
        <v>9</v>
      </c>
      <c r="D2153">
        <v>311</v>
      </c>
      <c r="E2153">
        <v>311</v>
      </c>
      <c r="F2153">
        <v>243</v>
      </c>
    </row>
    <row r="2154" spans="1:6" x14ac:dyDescent="0.2">
      <c r="A2154">
        <v>20200810</v>
      </c>
      <c r="B2154" t="s">
        <v>89</v>
      </c>
      <c r="C2154" t="s">
        <v>9</v>
      </c>
      <c r="D2154">
        <v>1</v>
      </c>
      <c r="E2154">
        <v>1</v>
      </c>
      <c r="F2154">
        <v>0</v>
      </c>
    </row>
    <row r="2155" spans="1:6" x14ac:dyDescent="0.2">
      <c r="A2155">
        <v>20200810</v>
      </c>
      <c r="B2155" t="s">
        <v>32</v>
      </c>
      <c r="C2155" t="s">
        <v>7</v>
      </c>
      <c r="D2155">
        <v>1</v>
      </c>
      <c r="E2155">
        <v>1</v>
      </c>
      <c r="F2155">
        <v>0</v>
      </c>
    </row>
    <row r="2156" spans="1:6" x14ac:dyDescent="0.2">
      <c r="A2156">
        <v>20200810</v>
      </c>
      <c r="B2156" t="s">
        <v>32</v>
      </c>
      <c r="C2156" t="s">
        <v>9</v>
      </c>
      <c r="D2156">
        <v>2</v>
      </c>
      <c r="E2156">
        <v>2</v>
      </c>
      <c r="F2156">
        <v>1</v>
      </c>
    </row>
    <row r="2157" spans="1:6" x14ac:dyDescent="0.2">
      <c r="A2157">
        <v>20200810</v>
      </c>
      <c r="B2157" t="s">
        <v>100</v>
      </c>
      <c r="C2157" t="s">
        <v>7</v>
      </c>
      <c r="D2157">
        <v>17</v>
      </c>
      <c r="E2157">
        <v>17</v>
      </c>
      <c r="F2157">
        <v>7</v>
      </c>
    </row>
    <row r="2158" spans="1:6" x14ac:dyDescent="0.2">
      <c r="A2158">
        <v>20200810</v>
      </c>
      <c r="B2158" t="s">
        <v>100</v>
      </c>
      <c r="C2158" t="s">
        <v>9</v>
      </c>
      <c r="D2158">
        <v>748</v>
      </c>
      <c r="E2158">
        <v>748</v>
      </c>
      <c r="F2158">
        <v>438</v>
      </c>
    </row>
    <row r="2159" spans="1:6" x14ac:dyDescent="0.2">
      <c r="A2159">
        <v>20200810</v>
      </c>
      <c r="B2159" t="s">
        <v>86</v>
      </c>
      <c r="C2159" t="s">
        <v>7</v>
      </c>
      <c r="D2159">
        <v>861</v>
      </c>
      <c r="E2159">
        <v>9</v>
      </c>
      <c r="F2159">
        <v>7</v>
      </c>
    </row>
    <row r="2160" spans="1:6" x14ac:dyDescent="0.2">
      <c r="A2160">
        <v>20200810</v>
      </c>
      <c r="B2160" t="s">
        <v>86</v>
      </c>
      <c r="C2160" t="s">
        <v>9</v>
      </c>
      <c r="D2160">
        <v>934</v>
      </c>
      <c r="E2160">
        <v>11</v>
      </c>
      <c r="F2160">
        <v>8</v>
      </c>
    </row>
    <row r="2161" spans="1:6" x14ac:dyDescent="0.2">
      <c r="A2161">
        <v>20200810</v>
      </c>
      <c r="B2161" t="s">
        <v>26</v>
      </c>
      <c r="C2161" t="s">
        <v>9</v>
      </c>
      <c r="D2161">
        <v>1</v>
      </c>
      <c r="E2161">
        <v>1</v>
      </c>
      <c r="F2161">
        <v>0</v>
      </c>
    </row>
    <row r="2162" spans="1:6" x14ac:dyDescent="0.2">
      <c r="A2162">
        <v>20200810</v>
      </c>
      <c r="B2162" t="s">
        <v>59</v>
      </c>
      <c r="C2162" t="s">
        <v>9</v>
      </c>
      <c r="D2162">
        <v>1</v>
      </c>
      <c r="E2162">
        <v>1</v>
      </c>
      <c r="F2162">
        <v>0</v>
      </c>
    </row>
    <row r="2163" spans="1:6" x14ac:dyDescent="0.2">
      <c r="A2163">
        <v>20200810</v>
      </c>
      <c r="B2163" t="s">
        <v>121</v>
      </c>
      <c r="C2163" t="s">
        <v>7</v>
      </c>
      <c r="D2163">
        <v>174</v>
      </c>
      <c r="E2163">
        <v>3</v>
      </c>
      <c r="F2163">
        <v>2</v>
      </c>
    </row>
    <row r="2164" spans="1:6" x14ac:dyDescent="0.2">
      <c r="A2164">
        <v>20200810</v>
      </c>
      <c r="B2164" t="s">
        <v>121</v>
      </c>
      <c r="C2164" t="s">
        <v>9</v>
      </c>
      <c r="D2164">
        <v>177</v>
      </c>
      <c r="E2164">
        <v>11</v>
      </c>
      <c r="F2164">
        <v>7</v>
      </c>
    </row>
    <row r="2165" spans="1:6" x14ac:dyDescent="0.2">
      <c r="A2165">
        <v>20200810</v>
      </c>
      <c r="B2165" t="s">
        <v>127</v>
      </c>
      <c r="C2165" t="s">
        <v>7</v>
      </c>
      <c r="D2165">
        <v>277</v>
      </c>
      <c r="E2165">
        <v>277</v>
      </c>
      <c r="F2165">
        <v>195</v>
      </c>
    </row>
    <row r="2166" spans="1:6" x14ac:dyDescent="0.2">
      <c r="A2166">
        <v>20200810</v>
      </c>
      <c r="B2166" t="s">
        <v>127</v>
      </c>
      <c r="C2166" t="s">
        <v>9</v>
      </c>
      <c r="D2166">
        <v>625</v>
      </c>
      <c r="E2166">
        <v>625</v>
      </c>
      <c r="F2166">
        <v>449</v>
      </c>
    </row>
    <row r="2167" spans="1:6" x14ac:dyDescent="0.2">
      <c r="A2167">
        <v>20200810</v>
      </c>
      <c r="B2167" t="s">
        <v>105</v>
      </c>
      <c r="C2167" t="s">
        <v>7</v>
      </c>
      <c r="D2167">
        <v>846</v>
      </c>
      <c r="E2167">
        <v>0</v>
      </c>
      <c r="F2167">
        <v>0</v>
      </c>
    </row>
    <row r="2168" spans="1:6" x14ac:dyDescent="0.2">
      <c r="A2168">
        <v>20200810</v>
      </c>
      <c r="B2168" t="s">
        <v>105</v>
      </c>
      <c r="C2168" t="s">
        <v>9</v>
      </c>
      <c r="D2168">
        <v>770</v>
      </c>
      <c r="E2168">
        <v>0</v>
      </c>
      <c r="F2168">
        <v>0</v>
      </c>
    </row>
    <row r="2169" spans="1:6" x14ac:dyDescent="0.2">
      <c r="A2169">
        <v>20200810</v>
      </c>
      <c r="B2169" t="s">
        <v>106</v>
      </c>
      <c r="C2169" t="s">
        <v>7</v>
      </c>
      <c r="D2169">
        <v>23</v>
      </c>
      <c r="E2169">
        <v>0</v>
      </c>
      <c r="F2169">
        <v>0</v>
      </c>
    </row>
    <row r="2170" spans="1:6" x14ac:dyDescent="0.2">
      <c r="A2170">
        <v>20200810</v>
      </c>
      <c r="B2170" t="s">
        <v>106</v>
      </c>
      <c r="C2170" t="s">
        <v>9</v>
      </c>
      <c r="D2170">
        <v>20</v>
      </c>
      <c r="E2170">
        <v>0</v>
      </c>
      <c r="F2170">
        <v>0</v>
      </c>
    </row>
    <row r="2171" spans="1:6" x14ac:dyDescent="0.2">
      <c r="A2171">
        <v>20200810</v>
      </c>
      <c r="B2171" t="s">
        <v>75</v>
      </c>
      <c r="C2171" t="s">
        <v>9</v>
      </c>
      <c r="D2171">
        <v>729</v>
      </c>
      <c r="E2171">
        <v>729</v>
      </c>
      <c r="F2171">
        <v>473</v>
      </c>
    </row>
    <row r="2172" spans="1:6" x14ac:dyDescent="0.2">
      <c r="A2172">
        <v>20200810</v>
      </c>
      <c r="B2172" t="s">
        <v>137</v>
      </c>
      <c r="C2172" t="s">
        <v>9</v>
      </c>
      <c r="D2172">
        <v>1</v>
      </c>
      <c r="E2172">
        <v>1</v>
      </c>
      <c r="F2172">
        <v>0</v>
      </c>
    </row>
    <row r="2173" spans="1:6" x14ac:dyDescent="0.2">
      <c r="A2173">
        <v>20200810</v>
      </c>
      <c r="B2173" t="s">
        <v>87</v>
      </c>
      <c r="C2173" t="s">
        <v>9</v>
      </c>
      <c r="D2173">
        <v>1930</v>
      </c>
      <c r="E2173">
        <v>1509</v>
      </c>
      <c r="F2173">
        <v>943</v>
      </c>
    </row>
    <row r="2174" spans="1:6" x14ac:dyDescent="0.2">
      <c r="A2174">
        <v>20200810</v>
      </c>
      <c r="B2174" t="s">
        <v>167</v>
      </c>
      <c r="C2174" t="s">
        <v>7</v>
      </c>
      <c r="D2174">
        <v>864</v>
      </c>
      <c r="E2174">
        <v>592</v>
      </c>
      <c r="F2174">
        <v>239</v>
      </c>
    </row>
    <row r="2175" spans="1:6" x14ac:dyDescent="0.2">
      <c r="A2175">
        <v>20200810</v>
      </c>
      <c r="B2175" t="s">
        <v>167</v>
      </c>
      <c r="C2175" t="s">
        <v>9</v>
      </c>
      <c r="D2175">
        <v>223</v>
      </c>
      <c r="E2175">
        <v>139</v>
      </c>
      <c r="F2175">
        <v>58</v>
      </c>
    </row>
    <row r="2176" spans="1:6" x14ac:dyDescent="0.2">
      <c r="A2176">
        <v>20200810</v>
      </c>
      <c r="B2176" t="s">
        <v>170</v>
      </c>
      <c r="C2176" t="s">
        <v>7</v>
      </c>
      <c r="D2176">
        <v>30</v>
      </c>
      <c r="E2176">
        <v>20</v>
      </c>
      <c r="F2176">
        <v>6</v>
      </c>
    </row>
    <row r="2177" spans="1:6" x14ac:dyDescent="0.2">
      <c r="A2177">
        <v>20200810</v>
      </c>
      <c r="B2177" t="s">
        <v>170</v>
      </c>
      <c r="C2177" t="s">
        <v>9</v>
      </c>
      <c r="D2177">
        <v>74</v>
      </c>
      <c r="E2177">
        <v>58</v>
      </c>
      <c r="F2177">
        <v>15</v>
      </c>
    </row>
    <row r="2178" spans="1:6" x14ac:dyDescent="0.2">
      <c r="A2178">
        <v>20200810</v>
      </c>
      <c r="B2178" t="s">
        <v>60</v>
      </c>
      <c r="C2178" t="s">
        <v>9</v>
      </c>
      <c r="D2178">
        <v>1</v>
      </c>
      <c r="E2178">
        <v>1</v>
      </c>
      <c r="F2178">
        <v>0</v>
      </c>
    </row>
    <row r="2179" spans="1:6" x14ac:dyDescent="0.2">
      <c r="A2179">
        <v>20200810</v>
      </c>
      <c r="B2179" t="s">
        <v>78</v>
      </c>
      <c r="C2179" t="s">
        <v>7</v>
      </c>
      <c r="D2179">
        <v>665</v>
      </c>
      <c r="E2179">
        <v>665</v>
      </c>
      <c r="F2179">
        <v>328</v>
      </c>
    </row>
    <row r="2180" spans="1:6" x14ac:dyDescent="0.2">
      <c r="A2180">
        <v>20200810</v>
      </c>
      <c r="B2180" t="s">
        <v>78</v>
      </c>
      <c r="C2180" t="s">
        <v>9</v>
      </c>
      <c r="D2180">
        <v>182</v>
      </c>
      <c r="E2180">
        <v>182</v>
      </c>
      <c r="F2180">
        <v>131</v>
      </c>
    </row>
    <row r="2181" spans="1:6" x14ac:dyDescent="0.2">
      <c r="A2181">
        <v>20200810</v>
      </c>
      <c r="B2181" t="s">
        <v>83</v>
      </c>
      <c r="C2181" t="s">
        <v>9</v>
      </c>
      <c r="D2181">
        <v>349</v>
      </c>
      <c r="E2181">
        <v>349</v>
      </c>
      <c r="F2181">
        <v>187</v>
      </c>
    </row>
    <row r="2182" spans="1:6" x14ac:dyDescent="0.2">
      <c r="A2182">
        <v>20200810</v>
      </c>
      <c r="B2182" t="s">
        <v>81</v>
      </c>
      <c r="C2182" t="s">
        <v>7</v>
      </c>
      <c r="D2182">
        <v>449</v>
      </c>
      <c r="E2182">
        <v>0</v>
      </c>
      <c r="F2182">
        <v>0</v>
      </c>
    </row>
    <row r="2183" spans="1:6" x14ac:dyDescent="0.2">
      <c r="A2183">
        <v>20200810</v>
      </c>
      <c r="B2183" t="s">
        <v>81</v>
      </c>
      <c r="C2183" t="s">
        <v>9</v>
      </c>
      <c r="D2183">
        <v>453</v>
      </c>
      <c r="E2183">
        <v>1</v>
      </c>
      <c r="F2183">
        <v>1</v>
      </c>
    </row>
    <row r="2184" spans="1:6" x14ac:dyDescent="0.2">
      <c r="A2184">
        <v>20200810</v>
      </c>
      <c r="B2184" t="s">
        <v>136</v>
      </c>
      <c r="C2184" t="s">
        <v>7</v>
      </c>
      <c r="D2184">
        <v>413</v>
      </c>
      <c r="E2184">
        <v>255</v>
      </c>
      <c r="F2184">
        <v>73</v>
      </c>
    </row>
    <row r="2185" spans="1:6" x14ac:dyDescent="0.2">
      <c r="A2185">
        <v>20200810</v>
      </c>
      <c r="B2185" t="s">
        <v>136</v>
      </c>
      <c r="C2185" t="s">
        <v>9</v>
      </c>
      <c r="D2185">
        <v>449</v>
      </c>
      <c r="E2185">
        <v>294</v>
      </c>
      <c r="F2185">
        <v>87</v>
      </c>
    </row>
    <row r="2186" spans="1:6" x14ac:dyDescent="0.2">
      <c r="A2186">
        <v>20200810</v>
      </c>
      <c r="B2186" t="s">
        <v>48</v>
      </c>
      <c r="C2186" t="s">
        <v>9</v>
      </c>
      <c r="D2186">
        <v>5</v>
      </c>
      <c r="E2186">
        <v>5</v>
      </c>
      <c r="F2186">
        <v>2</v>
      </c>
    </row>
    <row r="2187" spans="1:6" x14ac:dyDescent="0.2">
      <c r="A2187">
        <v>20200810</v>
      </c>
      <c r="B2187" t="s">
        <v>93</v>
      </c>
      <c r="C2187" t="s">
        <v>9</v>
      </c>
      <c r="D2187">
        <v>672</v>
      </c>
      <c r="E2187">
        <v>672</v>
      </c>
      <c r="F2187">
        <v>491</v>
      </c>
    </row>
    <row r="2188" spans="1:6" x14ac:dyDescent="0.2">
      <c r="A2188">
        <v>20200810</v>
      </c>
      <c r="B2188" t="s">
        <v>22</v>
      </c>
      <c r="C2188" t="s">
        <v>7</v>
      </c>
      <c r="D2188">
        <v>474</v>
      </c>
      <c r="E2188">
        <v>474</v>
      </c>
      <c r="F2188">
        <v>352</v>
      </c>
    </row>
    <row r="2189" spans="1:6" x14ac:dyDescent="0.2">
      <c r="A2189">
        <v>20200810</v>
      </c>
      <c r="B2189" t="s">
        <v>22</v>
      </c>
      <c r="C2189" t="s">
        <v>9</v>
      </c>
      <c r="D2189">
        <v>1588</v>
      </c>
      <c r="E2189">
        <v>1588</v>
      </c>
      <c r="F2189">
        <v>1259</v>
      </c>
    </row>
    <row r="2190" spans="1:6" x14ac:dyDescent="0.2">
      <c r="A2190">
        <v>20200810</v>
      </c>
      <c r="B2190" t="s">
        <v>55</v>
      </c>
      <c r="C2190" t="s">
        <v>9</v>
      </c>
      <c r="D2190">
        <v>982</v>
      </c>
      <c r="E2190">
        <v>982</v>
      </c>
      <c r="F2190">
        <v>732</v>
      </c>
    </row>
    <row r="2191" spans="1:6" x14ac:dyDescent="0.2">
      <c r="A2191">
        <v>20200810</v>
      </c>
      <c r="B2191" t="s">
        <v>150</v>
      </c>
      <c r="C2191" t="s">
        <v>7</v>
      </c>
      <c r="D2191">
        <v>5</v>
      </c>
      <c r="E2191">
        <v>3</v>
      </c>
      <c r="F2191">
        <v>1</v>
      </c>
    </row>
    <row r="2192" spans="1:6" x14ac:dyDescent="0.2">
      <c r="A2192">
        <v>20200810</v>
      </c>
      <c r="B2192" t="s">
        <v>150</v>
      </c>
      <c r="C2192" t="s">
        <v>9</v>
      </c>
      <c r="D2192">
        <v>434</v>
      </c>
      <c r="E2192">
        <v>299</v>
      </c>
      <c r="F2192">
        <v>124</v>
      </c>
    </row>
    <row r="2193" spans="1:6" x14ac:dyDescent="0.2">
      <c r="A2193">
        <v>20200810</v>
      </c>
      <c r="B2193" t="s">
        <v>90</v>
      </c>
      <c r="C2193" t="s">
        <v>7</v>
      </c>
      <c r="D2193">
        <v>2043</v>
      </c>
      <c r="E2193">
        <v>2043</v>
      </c>
      <c r="F2193">
        <v>923</v>
      </c>
    </row>
    <row r="2194" spans="1:6" x14ac:dyDescent="0.2">
      <c r="A2194">
        <v>20200810</v>
      </c>
      <c r="B2194" t="s">
        <v>90</v>
      </c>
      <c r="C2194" t="s">
        <v>9</v>
      </c>
      <c r="D2194">
        <v>1097</v>
      </c>
      <c r="E2194">
        <v>1097</v>
      </c>
      <c r="F2194">
        <v>468</v>
      </c>
    </row>
    <row r="2195" spans="1:6" x14ac:dyDescent="0.2">
      <c r="A2195">
        <v>20200810</v>
      </c>
      <c r="B2195" t="s">
        <v>10</v>
      </c>
      <c r="C2195" t="s">
        <v>9</v>
      </c>
      <c r="D2195">
        <v>1</v>
      </c>
      <c r="E2195">
        <v>1</v>
      </c>
      <c r="F2195">
        <v>0</v>
      </c>
    </row>
    <row r="2196" spans="1:6" x14ac:dyDescent="0.2">
      <c r="A2196">
        <v>20200810</v>
      </c>
      <c r="B2196" t="s">
        <v>111</v>
      </c>
      <c r="C2196" t="s">
        <v>7</v>
      </c>
      <c r="D2196">
        <v>1</v>
      </c>
      <c r="E2196">
        <v>1</v>
      </c>
      <c r="F2196">
        <v>0</v>
      </c>
    </row>
    <row r="2197" spans="1:6" x14ac:dyDescent="0.2">
      <c r="A2197">
        <v>20200810</v>
      </c>
      <c r="B2197" t="s">
        <v>111</v>
      </c>
      <c r="C2197" t="s">
        <v>9</v>
      </c>
      <c r="D2197">
        <v>796</v>
      </c>
      <c r="E2197">
        <v>796</v>
      </c>
      <c r="F2197">
        <v>524</v>
      </c>
    </row>
    <row r="2198" spans="1:6" x14ac:dyDescent="0.2">
      <c r="A2198">
        <v>20200810</v>
      </c>
      <c r="B2198" t="s">
        <v>98</v>
      </c>
      <c r="C2198" t="s">
        <v>9</v>
      </c>
      <c r="D2198">
        <v>1</v>
      </c>
      <c r="E2198">
        <v>1</v>
      </c>
      <c r="F2198">
        <v>1</v>
      </c>
    </row>
    <row r="2199" spans="1:6" x14ac:dyDescent="0.2">
      <c r="A2199">
        <v>20200810</v>
      </c>
      <c r="B2199" t="s">
        <v>46</v>
      </c>
      <c r="C2199" t="s">
        <v>9</v>
      </c>
      <c r="D2199">
        <v>29</v>
      </c>
      <c r="E2199">
        <v>29</v>
      </c>
      <c r="F2199">
        <v>19</v>
      </c>
    </row>
    <row r="2200" spans="1:6" x14ac:dyDescent="0.2">
      <c r="A2200">
        <v>20200810</v>
      </c>
      <c r="C2200" t="s">
        <v>7</v>
      </c>
      <c r="D2200">
        <v>10798</v>
      </c>
      <c r="E2200">
        <v>0</v>
      </c>
      <c r="F2200">
        <v>0</v>
      </c>
    </row>
    <row r="2201" spans="1:6" x14ac:dyDescent="0.2">
      <c r="A2201">
        <v>20200810</v>
      </c>
      <c r="C2201" t="s">
        <v>9</v>
      </c>
      <c r="D2201">
        <v>12355</v>
      </c>
      <c r="E2201">
        <v>0</v>
      </c>
      <c r="F2201">
        <v>0</v>
      </c>
    </row>
    <row r="2202" spans="1:6" x14ac:dyDescent="0.2">
      <c r="A2202">
        <v>20200811</v>
      </c>
      <c r="B2202" t="s">
        <v>82</v>
      </c>
      <c r="C2202" t="s">
        <v>7</v>
      </c>
      <c r="D2202">
        <v>986</v>
      </c>
      <c r="E2202">
        <v>986</v>
      </c>
      <c r="F2202">
        <v>559</v>
      </c>
    </row>
    <row r="2203" spans="1:6" x14ac:dyDescent="0.2">
      <c r="A2203">
        <v>20200811</v>
      </c>
      <c r="B2203" t="s">
        <v>82</v>
      </c>
      <c r="C2203" t="s">
        <v>9</v>
      </c>
      <c r="D2203">
        <v>270</v>
      </c>
      <c r="E2203">
        <v>270</v>
      </c>
      <c r="F2203">
        <v>167</v>
      </c>
    </row>
    <row r="2204" spans="1:6" x14ac:dyDescent="0.2">
      <c r="A2204">
        <v>20200811</v>
      </c>
      <c r="B2204" t="s">
        <v>34</v>
      </c>
      <c r="C2204" t="s">
        <v>9</v>
      </c>
      <c r="D2204">
        <v>43</v>
      </c>
      <c r="E2204">
        <v>29</v>
      </c>
      <c r="F2204">
        <v>11</v>
      </c>
    </row>
    <row r="2205" spans="1:6" x14ac:dyDescent="0.2">
      <c r="A2205">
        <v>20200811</v>
      </c>
      <c r="B2205" t="s">
        <v>45</v>
      </c>
      <c r="C2205" t="s">
        <v>7</v>
      </c>
      <c r="D2205">
        <v>1725</v>
      </c>
      <c r="E2205">
        <v>3</v>
      </c>
      <c r="F2205">
        <v>2</v>
      </c>
    </row>
    <row r="2206" spans="1:6" x14ac:dyDescent="0.2">
      <c r="A2206">
        <v>20200811</v>
      </c>
      <c r="B2206" t="s">
        <v>45</v>
      </c>
      <c r="C2206" t="s">
        <v>9</v>
      </c>
      <c r="D2206">
        <v>1775</v>
      </c>
      <c r="E2206">
        <v>2</v>
      </c>
      <c r="F2206">
        <v>1</v>
      </c>
    </row>
    <row r="2207" spans="1:6" x14ac:dyDescent="0.2">
      <c r="A2207">
        <v>20200811</v>
      </c>
      <c r="B2207" t="s">
        <v>69</v>
      </c>
      <c r="C2207" t="s">
        <v>7</v>
      </c>
      <c r="D2207">
        <v>620</v>
      </c>
      <c r="E2207">
        <v>0</v>
      </c>
      <c r="F2207">
        <v>0</v>
      </c>
    </row>
    <row r="2208" spans="1:6" x14ac:dyDescent="0.2">
      <c r="A2208">
        <v>20200811</v>
      </c>
      <c r="B2208" t="s">
        <v>69</v>
      </c>
      <c r="C2208" t="s">
        <v>9</v>
      </c>
      <c r="D2208">
        <v>570</v>
      </c>
      <c r="E2208">
        <v>2</v>
      </c>
      <c r="F2208">
        <v>1</v>
      </c>
    </row>
    <row r="2209" spans="1:6" x14ac:dyDescent="0.2">
      <c r="A2209">
        <v>20200811</v>
      </c>
      <c r="B2209" t="s">
        <v>123</v>
      </c>
      <c r="C2209" t="s">
        <v>7</v>
      </c>
      <c r="D2209">
        <v>43</v>
      </c>
      <c r="E2209">
        <v>0</v>
      </c>
      <c r="F2209">
        <v>0</v>
      </c>
    </row>
    <row r="2210" spans="1:6" x14ac:dyDescent="0.2">
      <c r="A2210">
        <v>20200811</v>
      </c>
      <c r="B2210" t="s">
        <v>123</v>
      </c>
      <c r="C2210" t="s">
        <v>9</v>
      </c>
      <c r="D2210">
        <v>49</v>
      </c>
      <c r="E2210">
        <v>1</v>
      </c>
      <c r="F2210">
        <v>0</v>
      </c>
    </row>
    <row r="2211" spans="1:6" x14ac:dyDescent="0.2">
      <c r="A2211">
        <v>20200811</v>
      </c>
      <c r="B2211" t="s">
        <v>101</v>
      </c>
      <c r="C2211" t="s">
        <v>7</v>
      </c>
      <c r="D2211">
        <v>7</v>
      </c>
      <c r="E2211">
        <v>0</v>
      </c>
      <c r="F2211">
        <v>0</v>
      </c>
    </row>
    <row r="2212" spans="1:6" x14ac:dyDescent="0.2">
      <c r="A2212">
        <v>20200811</v>
      </c>
      <c r="B2212" t="s">
        <v>101</v>
      </c>
      <c r="C2212" t="s">
        <v>9</v>
      </c>
      <c r="D2212">
        <v>13</v>
      </c>
      <c r="E2212">
        <v>1</v>
      </c>
      <c r="F2212">
        <v>0</v>
      </c>
    </row>
    <row r="2213" spans="1:6" x14ac:dyDescent="0.2">
      <c r="A2213">
        <v>20200811</v>
      </c>
      <c r="B2213" t="s">
        <v>11</v>
      </c>
      <c r="C2213" t="s">
        <v>7</v>
      </c>
      <c r="D2213">
        <v>12687</v>
      </c>
      <c r="E2213">
        <v>0</v>
      </c>
      <c r="F2213">
        <v>0</v>
      </c>
    </row>
    <row r="2214" spans="1:6" x14ac:dyDescent="0.2">
      <c r="A2214">
        <v>20200811</v>
      </c>
      <c r="B2214" t="s">
        <v>11</v>
      </c>
      <c r="C2214" t="s">
        <v>9</v>
      </c>
      <c r="D2214">
        <v>12400</v>
      </c>
      <c r="E2214">
        <v>1</v>
      </c>
      <c r="F2214">
        <v>0</v>
      </c>
    </row>
    <row r="2215" spans="1:6" x14ac:dyDescent="0.2">
      <c r="A2215">
        <v>20200811</v>
      </c>
      <c r="B2215" t="s">
        <v>16</v>
      </c>
      <c r="C2215" t="s">
        <v>7</v>
      </c>
      <c r="D2215">
        <v>72</v>
      </c>
      <c r="E2215">
        <v>72</v>
      </c>
      <c r="F2215">
        <v>50</v>
      </c>
    </row>
    <row r="2216" spans="1:6" x14ac:dyDescent="0.2">
      <c r="A2216">
        <v>20200811</v>
      </c>
      <c r="B2216" t="s">
        <v>16</v>
      </c>
      <c r="C2216" t="s">
        <v>9</v>
      </c>
      <c r="D2216">
        <v>114</v>
      </c>
      <c r="E2216">
        <v>114</v>
      </c>
      <c r="F2216">
        <v>74</v>
      </c>
    </row>
    <row r="2217" spans="1:6" x14ac:dyDescent="0.2">
      <c r="A2217">
        <v>20200811</v>
      </c>
      <c r="B2217" t="s">
        <v>120</v>
      </c>
      <c r="C2217" t="s">
        <v>9</v>
      </c>
      <c r="D2217">
        <v>5</v>
      </c>
      <c r="E2217">
        <v>5</v>
      </c>
      <c r="F2217">
        <v>0</v>
      </c>
    </row>
    <row r="2218" spans="1:6" x14ac:dyDescent="0.2">
      <c r="A2218">
        <v>20200811</v>
      </c>
      <c r="B2218" t="s">
        <v>6</v>
      </c>
      <c r="C2218" t="s">
        <v>9</v>
      </c>
      <c r="D2218">
        <v>1</v>
      </c>
      <c r="E2218">
        <v>1</v>
      </c>
      <c r="F2218">
        <v>0</v>
      </c>
    </row>
    <row r="2219" spans="1:6" x14ac:dyDescent="0.2">
      <c r="A2219">
        <v>20200811</v>
      </c>
      <c r="B2219" t="s">
        <v>119</v>
      </c>
      <c r="C2219" t="s">
        <v>7</v>
      </c>
      <c r="D2219">
        <v>1</v>
      </c>
      <c r="E2219">
        <v>1</v>
      </c>
      <c r="F2219">
        <v>1</v>
      </c>
    </row>
    <row r="2220" spans="1:6" x14ac:dyDescent="0.2">
      <c r="A2220">
        <v>20200811</v>
      </c>
      <c r="B2220" t="s">
        <v>119</v>
      </c>
      <c r="C2220" t="s">
        <v>9</v>
      </c>
      <c r="D2220">
        <v>6</v>
      </c>
      <c r="E2220">
        <v>6</v>
      </c>
      <c r="F2220">
        <v>1</v>
      </c>
    </row>
    <row r="2221" spans="1:6" x14ac:dyDescent="0.2">
      <c r="A2221">
        <v>20200811</v>
      </c>
      <c r="B2221" t="s">
        <v>27</v>
      </c>
      <c r="C2221" t="s">
        <v>9</v>
      </c>
      <c r="D2221">
        <v>39</v>
      </c>
      <c r="E2221">
        <v>39</v>
      </c>
      <c r="F2221">
        <v>20</v>
      </c>
    </row>
    <row r="2222" spans="1:6" x14ac:dyDescent="0.2">
      <c r="A2222">
        <v>20200811</v>
      </c>
      <c r="B2222" t="s">
        <v>88</v>
      </c>
      <c r="C2222" t="s">
        <v>9</v>
      </c>
      <c r="D2222">
        <v>23</v>
      </c>
      <c r="E2222">
        <v>23</v>
      </c>
      <c r="F2222">
        <v>12</v>
      </c>
    </row>
    <row r="2223" spans="1:6" x14ac:dyDescent="0.2">
      <c r="A2223">
        <v>20200811</v>
      </c>
      <c r="B2223" t="s">
        <v>35</v>
      </c>
      <c r="C2223" t="s">
        <v>7</v>
      </c>
      <c r="D2223">
        <v>4</v>
      </c>
      <c r="E2223">
        <v>4</v>
      </c>
      <c r="F2223">
        <v>1</v>
      </c>
    </row>
    <row r="2224" spans="1:6" x14ac:dyDescent="0.2">
      <c r="A2224">
        <v>20200811</v>
      </c>
      <c r="B2224" t="s">
        <v>35</v>
      </c>
      <c r="C2224" t="s">
        <v>9</v>
      </c>
      <c r="D2224">
        <v>54</v>
      </c>
      <c r="E2224">
        <v>54</v>
      </c>
      <c r="F2224">
        <v>24</v>
      </c>
    </row>
    <row r="2225" spans="1:6" x14ac:dyDescent="0.2">
      <c r="A2225">
        <v>20200811</v>
      </c>
      <c r="B2225" t="s">
        <v>61</v>
      </c>
      <c r="C2225" t="s">
        <v>9</v>
      </c>
      <c r="D2225">
        <v>5</v>
      </c>
      <c r="E2225">
        <v>5</v>
      </c>
      <c r="F2225">
        <v>0</v>
      </c>
    </row>
    <row r="2226" spans="1:6" x14ac:dyDescent="0.2">
      <c r="A2226">
        <v>20200811</v>
      </c>
      <c r="B2226" t="s">
        <v>20</v>
      </c>
      <c r="C2226" t="s">
        <v>7</v>
      </c>
      <c r="D2226">
        <v>155</v>
      </c>
      <c r="E2226">
        <v>68</v>
      </c>
      <c r="F2226">
        <v>36</v>
      </c>
    </row>
    <row r="2227" spans="1:6" x14ac:dyDescent="0.2">
      <c r="A2227">
        <v>20200811</v>
      </c>
      <c r="B2227" t="s">
        <v>20</v>
      </c>
      <c r="C2227" t="s">
        <v>9</v>
      </c>
      <c r="D2227">
        <v>160</v>
      </c>
      <c r="E2227">
        <v>75</v>
      </c>
      <c r="F2227">
        <v>45</v>
      </c>
    </row>
    <row r="2228" spans="1:6" x14ac:dyDescent="0.2">
      <c r="A2228">
        <v>20200811</v>
      </c>
      <c r="B2228" t="s">
        <v>21</v>
      </c>
      <c r="C2228" t="s">
        <v>7</v>
      </c>
      <c r="D2228">
        <v>10</v>
      </c>
      <c r="E2228">
        <v>0</v>
      </c>
      <c r="F2228">
        <v>0</v>
      </c>
    </row>
    <row r="2229" spans="1:6" x14ac:dyDescent="0.2">
      <c r="A2229">
        <v>20200811</v>
      </c>
      <c r="B2229" t="s">
        <v>21</v>
      </c>
      <c r="C2229" t="s">
        <v>9</v>
      </c>
      <c r="D2229">
        <v>17</v>
      </c>
      <c r="E2229">
        <v>2</v>
      </c>
      <c r="F2229">
        <v>1</v>
      </c>
    </row>
    <row r="2230" spans="1:6" x14ac:dyDescent="0.2">
      <c r="A2230">
        <v>20200811</v>
      </c>
      <c r="B2230" t="s">
        <v>38</v>
      </c>
      <c r="C2230" t="s">
        <v>7</v>
      </c>
      <c r="D2230">
        <v>205</v>
      </c>
      <c r="E2230">
        <v>205</v>
      </c>
      <c r="F2230">
        <v>103</v>
      </c>
    </row>
    <row r="2231" spans="1:6" x14ac:dyDescent="0.2">
      <c r="A2231">
        <v>20200811</v>
      </c>
      <c r="B2231" t="s">
        <v>38</v>
      </c>
      <c r="C2231" t="s">
        <v>9</v>
      </c>
      <c r="D2231">
        <v>38</v>
      </c>
      <c r="E2231">
        <v>38</v>
      </c>
      <c r="F2231">
        <v>22</v>
      </c>
    </row>
    <row r="2232" spans="1:6" x14ac:dyDescent="0.2">
      <c r="A2232">
        <v>20200811</v>
      </c>
      <c r="B2232" t="s">
        <v>28</v>
      </c>
      <c r="C2232" t="s">
        <v>9</v>
      </c>
      <c r="D2232">
        <v>36</v>
      </c>
      <c r="E2232">
        <v>36</v>
      </c>
      <c r="F2232">
        <v>23</v>
      </c>
    </row>
    <row r="2233" spans="1:6" x14ac:dyDescent="0.2">
      <c r="A2233">
        <v>20200811</v>
      </c>
      <c r="B2233" t="s">
        <v>39</v>
      </c>
      <c r="C2233" t="s">
        <v>7</v>
      </c>
      <c r="D2233">
        <v>1064</v>
      </c>
      <c r="E2233">
        <v>1064</v>
      </c>
      <c r="F2233">
        <v>731</v>
      </c>
    </row>
    <row r="2234" spans="1:6" x14ac:dyDescent="0.2">
      <c r="A2234">
        <v>20200811</v>
      </c>
      <c r="B2234" t="s">
        <v>39</v>
      </c>
      <c r="C2234" t="s">
        <v>9</v>
      </c>
      <c r="D2234">
        <v>992</v>
      </c>
      <c r="E2234">
        <v>992</v>
      </c>
      <c r="F2234">
        <v>712</v>
      </c>
    </row>
    <row r="2235" spans="1:6" x14ac:dyDescent="0.2">
      <c r="A2235">
        <v>20200811</v>
      </c>
      <c r="B2235" t="s">
        <v>66</v>
      </c>
      <c r="C2235" t="s">
        <v>9</v>
      </c>
      <c r="D2235">
        <v>8</v>
      </c>
      <c r="E2235">
        <v>6</v>
      </c>
      <c r="F2235">
        <v>1</v>
      </c>
    </row>
    <row r="2236" spans="1:6" x14ac:dyDescent="0.2">
      <c r="A2236">
        <v>20200811</v>
      </c>
      <c r="B2236" t="s">
        <v>108</v>
      </c>
      <c r="C2236" t="s">
        <v>7</v>
      </c>
      <c r="D2236">
        <v>823</v>
      </c>
      <c r="E2236">
        <v>823</v>
      </c>
      <c r="F2236">
        <v>562</v>
      </c>
    </row>
    <row r="2237" spans="1:6" x14ac:dyDescent="0.2">
      <c r="A2237">
        <v>20200811</v>
      </c>
      <c r="B2237" t="s">
        <v>108</v>
      </c>
      <c r="C2237" t="s">
        <v>9</v>
      </c>
      <c r="D2237">
        <v>484</v>
      </c>
      <c r="E2237">
        <v>484</v>
      </c>
      <c r="F2237">
        <v>357</v>
      </c>
    </row>
    <row r="2238" spans="1:6" x14ac:dyDescent="0.2">
      <c r="A2238">
        <v>20200811</v>
      </c>
      <c r="B2238" t="s">
        <v>44</v>
      </c>
      <c r="C2238" t="s">
        <v>9</v>
      </c>
      <c r="D2238">
        <v>6</v>
      </c>
      <c r="E2238">
        <v>6</v>
      </c>
      <c r="F2238">
        <v>0</v>
      </c>
    </row>
    <row r="2239" spans="1:6" x14ac:dyDescent="0.2">
      <c r="A2239">
        <v>20200811</v>
      </c>
      <c r="B2239" t="s">
        <v>97</v>
      </c>
      <c r="C2239" t="s">
        <v>9</v>
      </c>
      <c r="D2239">
        <v>5</v>
      </c>
      <c r="E2239">
        <v>5</v>
      </c>
      <c r="F2239">
        <v>0</v>
      </c>
    </row>
    <row r="2240" spans="1:6" x14ac:dyDescent="0.2">
      <c r="A2240">
        <v>20200811</v>
      </c>
      <c r="B2240" t="s">
        <v>76</v>
      </c>
      <c r="C2240" t="s">
        <v>9</v>
      </c>
      <c r="D2240">
        <v>148</v>
      </c>
      <c r="E2240">
        <v>148</v>
      </c>
      <c r="F2240">
        <v>91</v>
      </c>
    </row>
    <row r="2241" spans="1:6" x14ac:dyDescent="0.2">
      <c r="A2241">
        <v>20200811</v>
      </c>
      <c r="B2241" t="s">
        <v>53</v>
      </c>
      <c r="C2241" t="s">
        <v>9</v>
      </c>
      <c r="D2241">
        <v>33</v>
      </c>
      <c r="E2241">
        <v>33</v>
      </c>
      <c r="F2241">
        <v>24</v>
      </c>
    </row>
    <row r="2242" spans="1:6" x14ac:dyDescent="0.2">
      <c r="A2242">
        <v>20200811</v>
      </c>
      <c r="B2242" t="s">
        <v>144</v>
      </c>
      <c r="C2242" t="s">
        <v>9</v>
      </c>
      <c r="D2242">
        <v>1</v>
      </c>
      <c r="E2242">
        <v>1</v>
      </c>
      <c r="F2242">
        <v>1</v>
      </c>
    </row>
    <row r="2243" spans="1:6" x14ac:dyDescent="0.2">
      <c r="A2243">
        <v>20200811</v>
      </c>
      <c r="B2243" t="s">
        <v>95</v>
      </c>
      <c r="C2243" t="s">
        <v>7</v>
      </c>
      <c r="D2243">
        <v>104</v>
      </c>
      <c r="E2243">
        <v>104</v>
      </c>
      <c r="F2243">
        <v>62</v>
      </c>
    </row>
    <row r="2244" spans="1:6" x14ac:dyDescent="0.2">
      <c r="A2244">
        <v>20200811</v>
      </c>
      <c r="B2244" t="s">
        <v>95</v>
      </c>
      <c r="C2244" t="s">
        <v>9</v>
      </c>
      <c r="D2244">
        <v>73</v>
      </c>
      <c r="E2244">
        <v>73</v>
      </c>
      <c r="F2244">
        <v>37</v>
      </c>
    </row>
    <row r="2245" spans="1:6" x14ac:dyDescent="0.2">
      <c r="A2245">
        <v>20200811</v>
      </c>
      <c r="B2245" t="s">
        <v>64</v>
      </c>
      <c r="C2245" t="s">
        <v>9</v>
      </c>
      <c r="D2245">
        <v>294</v>
      </c>
      <c r="E2245">
        <v>294</v>
      </c>
      <c r="F2245">
        <v>204</v>
      </c>
    </row>
    <row r="2246" spans="1:6" x14ac:dyDescent="0.2">
      <c r="A2246">
        <v>20200811</v>
      </c>
      <c r="B2246" t="s">
        <v>68</v>
      </c>
      <c r="C2246" t="s">
        <v>7</v>
      </c>
      <c r="D2246">
        <v>3541</v>
      </c>
      <c r="E2246">
        <v>3541</v>
      </c>
      <c r="F2246">
        <v>2419</v>
      </c>
    </row>
    <row r="2247" spans="1:6" x14ac:dyDescent="0.2">
      <c r="A2247">
        <v>20200811</v>
      </c>
      <c r="B2247" t="s">
        <v>68</v>
      </c>
      <c r="C2247" t="s">
        <v>9</v>
      </c>
      <c r="D2247">
        <v>3591</v>
      </c>
      <c r="E2247">
        <v>3591</v>
      </c>
      <c r="F2247">
        <v>2573</v>
      </c>
    </row>
    <row r="2248" spans="1:6" x14ac:dyDescent="0.2">
      <c r="A2248">
        <v>20200811</v>
      </c>
      <c r="B2248" t="s">
        <v>85</v>
      </c>
      <c r="C2248" t="s">
        <v>9</v>
      </c>
      <c r="D2248">
        <v>5</v>
      </c>
      <c r="E2248">
        <v>5</v>
      </c>
      <c r="F2248">
        <v>0</v>
      </c>
    </row>
    <row r="2249" spans="1:6" x14ac:dyDescent="0.2">
      <c r="A2249">
        <v>20200811</v>
      </c>
      <c r="B2249" t="s">
        <v>126</v>
      </c>
      <c r="C2249" t="s">
        <v>9</v>
      </c>
      <c r="D2249">
        <v>5</v>
      </c>
      <c r="E2249">
        <v>5</v>
      </c>
      <c r="F2249">
        <v>0</v>
      </c>
    </row>
    <row r="2250" spans="1:6" x14ac:dyDescent="0.2">
      <c r="A2250">
        <v>20200811</v>
      </c>
      <c r="B2250" t="s">
        <v>13</v>
      </c>
      <c r="C2250" t="s">
        <v>9</v>
      </c>
      <c r="D2250">
        <v>114</v>
      </c>
      <c r="E2250">
        <v>114</v>
      </c>
      <c r="F2250">
        <v>67</v>
      </c>
    </row>
    <row r="2251" spans="1:6" x14ac:dyDescent="0.2">
      <c r="A2251">
        <v>20200811</v>
      </c>
      <c r="B2251" t="s">
        <v>70</v>
      </c>
      <c r="C2251" t="s">
        <v>9</v>
      </c>
      <c r="D2251">
        <v>341</v>
      </c>
      <c r="E2251">
        <v>341</v>
      </c>
      <c r="F2251">
        <v>233</v>
      </c>
    </row>
    <row r="2252" spans="1:6" x14ac:dyDescent="0.2">
      <c r="A2252">
        <v>20200811</v>
      </c>
      <c r="B2252" t="s">
        <v>122</v>
      </c>
      <c r="C2252" t="s">
        <v>9</v>
      </c>
      <c r="D2252">
        <v>114</v>
      </c>
      <c r="E2252">
        <v>114</v>
      </c>
      <c r="F2252">
        <v>78</v>
      </c>
    </row>
    <row r="2253" spans="1:6" x14ac:dyDescent="0.2">
      <c r="A2253">
        <v>20200811</v>
      </c>
      <c r="B2253" t="s">
        <v>89</v>
      </c>
      <c r="C2253" t="s">
        <v>9</v>
      </c>
      <c r="D2253">
        <v>5</v>
      </c>
      <c r="E2253">
        <v>5</v>
      </c>
      <c r="F2253">
        <v>0</v>
      </c>
    </row>
    <row r="2254" spans="1:6" x14ac:dyDescent="0.2">
      <c r="A2254">
        <v>20200811</v>
      </c>
      <c r="B2254" t="s">
        <v>32</v>
      </c>
      <c r="C2254" t="s">
        <v>9</v>
      </c>
      <c r="D2254">
        <v>5</v>
      </c>
      <c r="E2254">
        <v>5</v>
      </c>
      <c r="F2254">
        <v>0</v>
      </c>
    </row>
    <row r="2255" spans="1:6" x14ac:dyDescent="0.2">
      <c r="A2255">
        <v>20200811</v>
      </c>
      <c r="B2255" t="s">
        <v>100</v>
      </c>
      <c r="C2255" t="s">
        <v>7</v>
      </c>
      <c r="D2255">
        <v>24</v>
      </c>
      <c r="E2255">
        <v>24</v>
      </c>
      <c r="F2255">
        <v>12</v>
      </c>
    </row>
    <row r="2256" spans="1:6" x14ac:dyDescent="0.2">
      <c r="A2256">
        <v>20200811</v>
      </c>
      <c r="B2256" t="s">
        <v>100</v>
      </c>
      <c r="C2256" t="s">
        <v>9</v>
      </c>
      <c r="D2256">
        <v>156</v>
      </c>
      <c r="E2256">
        <v>156</v>
      </c>
      <c r="F2256">
        <v>90</v>
      </c>
    </row>
    <row r="2257" spans="1:6" x14ac:dyDescent="0.2">
      <c r="A2257">
        <v>20200811</v>
      </c>
      <c r="B2257" t="s">
        <v>112</v>
      </c>
      <c r="C2257" t="s">
        <v>9</v>
      </c>
      <c r="D2257">
        <v>5</v>
      </c>
      <c r="E2257">
        <v>5</v>
      </c>
      <c r="F2257">
        <v>0</v>
      </c>
    </row>
    <row r="2258" spans="1:6" x14ac:dyDescent="0.2">
      <c r="A2258">
        <v>20200811</v>
      </c>
      <c r="B2258" t="s">
        <v>26</v>
      </c>
      <c r="C2258" t="s">
        <v>9</v>
      </c>
      <c r="D2258">
        <v>5</v>
      </c>
      <c r="E2258">
        <v>5</v>
      </c>
      <c r="F2258">
        <v>0</v>
      </c>
    </row>
    <row r="2259" spans="1:6" x14ac:dyDescent="0.2">
      <c r="A2259">
        <v>20200811</v>
      </c>
      <c r="B2259" t="s">
        <v>59</v>
      </c>
      <c r="C2259" t="s">
        <v>9</v>
      </c>
      <c r="D2259">
        <v>5</v>
      </c>
      <c r="E2259">
        <v>5</v>
      </c>
      <c r="F2259">
        <v>0</v>
      </c>
    </row>
    <row r="2260" spans="1:6" x14ac:dyDescent="0.2">
      <c r="A2260">
        <v>20200811</v>
      </c>
      <c r="B2260" t="s">
        <v>121</v>
      </c>
      <c r="C2260" t="s">
        <v>7</v>
      </c>
      <c r="D2260">
        <v>23</v>
      </c>
      <c r="E2260">
        <v>15</v>
      </c>
      <c r="F2260">
        <v>9</v>
      </c>
    </row>
    <row r="2261" spans="1:6" x14ac:dyDescent="0.2">
      <c r="A2261">
        <v>20200811</v>
      </c>
      <c r="B2261" t="s">
        <v>121</v>
      </c>
      <c r="C2261" t="s">
        <v>9</v>
      </c>
      <c r="D2261">
        <v>51</v>
      </c>
      <c r="E2261">
        <v>37</v>
      </c>
      <c r="F2261">
        <v>11</v>
      </c>
    </row>
    <row r="2262" spans="1:6" x14ac:dyDescent="0.2">
      <c r="A2262">
        <v>20200811</v>
      </c>
      <c r="B2262" t="s">
        <v>127</v>
      </c>
      <c r="C2262" t="s">
        <v>7</v>
      </c>
      <c r="D2262">
        <v>3</v>
      </c>
      <c r="E2262">
        <v>3</v>
      </c>
      <c r="F2262">
        <v>1</v>
      </c>
    </row>
    <row r="2263" spans="1:6" x14ac:dyDescent="0.2">
      <c r="A2263">
        <v>20200811</v>
      </c>
      <c r="B2263" t="s">
        <v>127</v>
      </c>
      <c r="C2263" t="s">
        <v>9</v>
      </c>
      <c r="D2263">
        <v>11</v>
      </c>
      <c r="E2263">
        <v>11</v>
      </c>
      <c r="F2263">
        <v>5</v>
      </c>
    </row>
    <row r="2264" spans="1:6" x14ac:dyDescent="0.2">
      <c r="A2264">
        <v>20200811</v>
      </c>
      <c r="B2264" t="s">
        <v>105</v>
      </c>
      <c r="C2264" t="s">
        <v>7</v>
      </c>
      <c r="D2264">
        <v>362</v>
      </c>
      <c r="E2264">
        <v>2</v>
      </c>
      <c r="F2264">
        <v>2</v>
      </c>
    </row>
    <row r="2265" spans="1:6" x14ac:dyDescent="0.2">
      <c r="A2265">
        <v>20200811</v>
      </c>
      <c r="B2265" t="s">
        <v>105</v>
      </c>
      <c r="C2265" t="s">
        <v>9</v>
      </c>
      <c r="D2265">
        <v>447</v>
      </c>
      <c r="E2265">
        <v>2</v>
      </c>
      <c r="F2265">
        <v>2</v>
      </c>
    </row>
    <row r="2266" spans="1:6" x14ac:dyDescent="0.2">
      <c r="A2266">
        <v>20200811</v>
      </c>
      <c r="B2266" t="s">
        <v>106</v>
      </c>
      <c r="C2266" t="s">
        <v>7</v>
      </c>
      <c r="D2266">
        <v>5</v>
      </c>
      <c r="E2266">
        <v>0</v>
      </c>
      <c r="F2266">
        <v>0</v>
      </c>
    </row>
    <row r="2267" spans="1:6" x14ac:dyDescent="0.2">
      <c r="A2267">
        <v>20200811</v>
      </c>
      <c r="B2267" t="s">
        <v>106</v>
      </c>
      <c r="C2267" t="s">
        <v>9</v>
      </c>
      <c r="D2267">
        <v>3</v>
      </c>
      <c r="E2267">
        <v>0</v>
      </c>
      <c r="F2267">
        <v>0</v>
      </c>
    </row>
    <row r="2268" spans="1:6" x14ac:dyDescent="0.2">
      <c r="A2268">
        <v>20200811</v>
      </c>
      <c r="B2268" t="s">
        <v>75</v>
      </c>
      <c r="C2268" t="s">
        <v>9</v>
      </c>
      <c r="D2268">
        <v>329</v>
      </c>
      <c r="E2268">
        <v>329</v>
      </c>
      <c r="F2268">
        <v>221</v>
      </c>
    </row>
    <row r="2269" spans="1:6" x14ac:dyDescent="0.2">
      <c r="A2269">
        <v>20200811</v>
      </c>
      <c r="B2269" t="s">
        <v>137</v>
      </c>
      <c r="C2269" t="s">
        <v>9</v>
      </c>
      <c r="D2269">
        <v>5</v>
      </c>
      <c r="E2269">
        <v>5</v>
      </c>
      <c r="F2269">
        <v>0</v>
      </c>
    </row>
    <row r="2270" spans="1:6" x14ac:dyDescent="0.2">
      <c r="A2270">
        <v>20200811</v>
      </c>
      <c r="B2270" t="s">
        <v>43</v>
      </c>
      <c r="C2270" t="s">
        <v>9</v>
      </c>
      <c r="D2270">
        <v>18</v>
      </c>
      <c r="E2270">
        <v>18</v>
      </c>
      <c r="F2270">
        <v>6</v>
      </c>
    </row>
    <row r="2271" spans="1:6" x14ac:dyDescent="0.2">
      <c r="A2271">
        <v>20200811</v>
      </c>
      <c r="B2271" t="s">
        <v>8</v>
      </c>
      <c r="C2271" t="s">
        <v>9</v>
      </c>
      <c r="D2271">
        <v>6</v>
      </c>
      <c r="E2271">
        <v>6</v>
      </c>
      <c r="F2271">
        <v>0</v>
      </c>
    </row>
    <row r="2272" spans="1:6" x14ac:dyDescent="0.2">
      <c r="A2272">
        <v>20200811</v>
      </c>
      <c r="B2272" t="s">
        <v>87</v>
      </c>
      <c r="C2272" t="s">
        <v>9</v>
      </c>
      <c r="D2272">
        <v>460</v>
      </c>
      <c r="E2272">
        <v>329</v>
      </c>
      <c r="F2272">
        <v>191</v>
      </c>
    </row>
    <row r="2273" spans="1:6" x14ac:dyDescent="0.2">
      <c r="A2273">
        <v>20200811</v>
      </c>
      <c r="B2273" t="s">
        <v>167</v>
      </c>
      <c r="C2273" t="s">
        <v>7</v>
      </c>
      <c r="D2273">
        <v>210</v>
      </c>
      <c r="E2273">
        <v>147</v>
      </c>
      <c r="F2273">
        <v>60</v>
      </c>
    </row>
    <row r="2274" spans="1:6" x14ac:dyDescent="0.2">
      <c r="A2274">
        <v>20200811</v>
      </c>
      <c r="B2274" t="s">
        <v>167</v>
      </c>
      <c r="C2274" t="s">
        <v>9</v>
      </c>
      <c r="D2274">
        <v>57</v>
      </c>
      <c r="E2274">
        <v>35</v>
      </c>
      <c r="F2274">
        <v>16</v>
      </c>
    </row>
    <row r="2275" spans="1:6" x14ac:dyDescent="0.2">
      <c r="A2275">
        <v>20200811</v>
      </c>
      <c r="B2275" t="s">
        <v>170</v>
      </c>
      <c r="C2275" t="s">
        <v>9</v>
      </c>
      <c r="D2275">
        <v>420</v>
      </c>
      <c r="E2275">
        <v>326</v>
      </c>
      <c r="F2275">
        <v>112</v>
      </c>
    </row>
    <row r="2276" spans="1:6" x14ac:dyDescent="0.2">
      <c r="A2276">
        <v>20200811</v>
      </c>
      <c r="B2276" t="s">
        <v>109</v>
      </c>
      <c r="C2276" t="s">
        <v>9</v>
      </c>
      <c r="D2276">
        <v>5</v>
      </c>
      <c r="E2276">
        <v>5</v>
      </c>
      <c r="F2276">
        <v>0</v>
      </c>
    </row>
    <row r="2277" spans="1:6" x14ac:dyDescent="0.2">
      <c r="A2277">
        <v>20200811</v>
      </c>
      <c r="B2277" t="s">
        <v>60</v>
      </c>
      <c r="C2277" t="s">
        <v>9</v>
      </c>
      <c r="D2277">
        <v>5</v>
      </c>
      <c r="E2277">
        <v>5</v>
      </c>
      <c r="F2277">
        <v>0</v>
      </c>
    </row>
    <row r="2278" spans="1:6" x14ac:dyDescent="0.2">
      <c r="A2278">
        <v>20200811</v>
      </c>
      <c r="B2278" t="s">
        <v>78</v>
      </c>
      <c r="C2278" t="s">
        <v>7</v>
      </c>
      <c r="D2278">
        <v>109</v>
      </c>
      <c r="E2278">
        <v>109</v>
      </c>
      <c r="F2278">
        <v>53</v>
      </c>
    </row>
    <row r="2279" spans="1:6" x14ac:dyDescent="0.2">
      <c r="A2279">
        <v>20200811</v>
      </c>
      <c r="B2279" t="s">
        <v>78</v>
      </c>
      <c r="C2279" t="s">
        <v>9</v>
      </c>
      <c r="D2279">
        <v>27</v>
      </c>
      <c r="E2279">
        <v>27</v>
      </c>
      <c r="F2279">
        <v>13</v>
      </c>
    </row>
    <row r="2280" spans="1:6" x14ac:dyDescent="0.2">
      <c r="A2280">
        <v>20200811</v>
      </c>
      <c r="B2280" t="s">
        <v>83</v>
      </c>
      <c r="C2280" t="s">
        <v>9</v>
      </c>
      <c r="D2280">
        <v>131</v>
      </c>
      <c r="E2280">
        <v>131</v>
      </c>
      <c r="F2280">
        <v>48</v>
      </c>
    </row>
    <row r="2281" spans="1:6" x14ac:dyDescent="0.2">
      <c r="A2281">
        <v>20200811</v>
      </c>
      <c r="B2281" t="s">
        <v>42</v>
      </c>
      <c r="C2281" t="s">
        <v>9</v>
      </c>
      <c r="D2281">
        <v>5</v>
      </c>
      <c r="E2281">
        <v>5</v>
      </c>
      <c r="F2281">
        <v>0</v>
      </c>
    </row>
    <row r="2282" spans="1:6" x14ac:dyDescent="0.2">
      <c r="A2282">
        <v>20200811</v>
      </c>
      <c r="B2282" t="s">
        <v>125</v>
      </c>
      <c r="C2282" t="s">
        <v>9</v>
      </c>
      <c r="D2282">
        <v>98</v>
      </c>
      <c r="E2282">
        <v>98</v>
      </c>
      <c r="F2282">
        <v>74</v>
      </c>
    </row>
    <row r="2283" spans="1:6" x14ac:dyDescent="0.2">
      <c r="A2283">
        <v>20200811</v>
      </c>
      <c r="B2283" t="s">
        <v>81</v>
      </c>
      <c r="C2283" t="s">
        <v>7</v>
      </c>
      <c r="D2283">
        <v>14</v>
      </c>
      <c r="E2283">
        <v>0</v>
      </c>
      <c r="F2283">
        <v>0</v>
      </c>
    </row>
    <row r="2284" spans="1:6" x14ac:dyDescent="0.2">
      <c r="A2284">
        <v>20200811</v>
      </c>
      <c r="B2284" t="s">
        <v>81</v>
      </c>
      <c r="C2284" t="s">
        <v>9</v>
      </c>
      <c r="D2284">
        <v>15</v>
      </c>
      <c r="E2284">
        <v>0</v>
      </c>
      <c r="F2284">
        <v>0</v>
      </c>
    </row>
    <row r="2285" spans="1:6" x14ac:dyDescent="0.2">
      <c r="A2285">
        <v>20200811</v>
      </c>
      <c r="B2285" t="s">
        <v>136</v>
      </c>
      <c r="C2285" t="s">
        <v>7</v>
      </c>
      <c r="D2285">
        <v>100</v>
      </c>
      <c r="E2285">
        <v>63</v>
      </c>
      <c r="F2285">
        <v>22</v>
      </c>
    </row>
    <row r="2286" spans="1:6" x14ac:dyDescent="0.2">
      <c r="A2286">
        <v>20200811</v>
      </c>
      <c r="B2286" t="s">
        <v>136</v>
      </c>
      <c r="C2286" t="s">
        <v>9</v>
      </c>
      <c r="D2286">
        <v>138</v>
      </c>
      <c r="E2286">
        <v>90</v>
      </c>
      <c r="F2286">
        <v>26</v>
      </c>
    </row>
    <row r="2287" spans="1:6" x14ac:dyDescent="0.2">
      <c r="A2287">
        <v>20200811</v>
      </c>
      <c r="B2287" t="s">
        <v>48</v>
      </c>
      <c r="C2287" t="s">
        <v>9</v>
      </c>
      <c r="D2287">
        <v>139</v>
      </c>
      <c r="E2287">
        <v>139</v>
      </c>
      <c r="F2287">
        <v>83</v>
      </c>
    </row>
    <row r="2288" spans="1:6" x14ac:dyDescent="0.2">
      <c r="A2288">
        <v>20200811</v>
      </c>
      <c r="B2288" t="s">
        <v>93</v>
      </c>
      <c r="C2288" t="s">
        <v>9</v>
      </c>
      <c r="D2288">
        <v>159</v>
      </c>
      <c r="E2288">
        <v>159</v>
      </c>
      <c r="F2288">
        <v>103</v>
      </c>
    </row>
    <row r="2289" spans="1:6" x14ac:dyDescent="0.2">
      <c r="A2289">
        <v>20200811</v>
      </c>
      <c r="B2289" t="s">
        <v>67</v>
      </c>
      <c r="C2289" t="s">
        <v>9</v>
      </c>
      <c r="D2289">
        <v>5</v>
      </c>
      <c r="E2289">
        <v>5</v>
      </c>
      <c r="F2289">
        <v>0</v>
      </c>
    </row>
    <row r="2290" spans="1:6" x14ac:dyDescent="0.2">
      <c r="A2290">
        <v>20200811</v>
      </c>
      <c r="B2290" t="s">
        <v>22</v>
      </c>
      <c r="C2290" t="s">
        <v>7</v>
      </c>
      <c r="D2290">
        <v>116</v>
      </c>
      <c r="E2290">
        <v>116</v>
      </c>
      <c r="F2290">
        <v>76</v>
      </c>
    </row>
    <row r="2291" spans="1:6" x14ac:dyDescent="0.2">
      <c r="A2291">
        <v>20200811</v>
      </c>
      <c r="B2291" t="s">
        <v>22</v>
      </c>
      <c r="C2291" t="s">
        <v>9</v>
      </c>
      <c r="D2291">
        <v>259</v>
      </c>
      <c r="E2291">
        <v>259</v>
      </c>
      <c r="F2291">
        <v>193</v>
      </c>
    </row>
    <row r="2292" spans="1:6" x14ac:dyDescent="0.2">
      <c r="A2292">
        <v>20200811</v>
      </c>
      <c r="B2292" t="s">
        <v>55</v>
      </c>
      <c r="C2292" t="s">
        <v>9</v>
      </c>
      <c r="D2292">
        <v>284</v>
      </c>
      <c r="E2292">
        <v>284</v>
      </c>
      <c r="F2292">
        <v>207</v>
      </c>
    </row>
    <row r="2293" spans="1:6" x14ac:dyDescent="0.2">
      <c r="A2293">
        <v>20200811</v>
      </c>
      <c r="B2293" t="s">
        <v>150</v>
      </c>
      <c r="C2293" t="s">
        <v>9</v>
      </c>
      <c r="D2293">
        <v>1</v>
      </c>
      <c r="E2293">
        <v>1</v>
      </c>
      <c r="F2293">
        <v>0</v>
      </c>
    </row>
    <row r="2294" spans="1:6" x14ac:dyDescent="0.2">
      <c r="A2294">
        <v>20200811</v>
      </c>
      <c r="B2294" t="s">
        <v>90</v>
      </c>
      <c r="C2294" t="s">
        <v>7</v>
      </c>
      <c r="D2294">
        <v>234</v>
      </c>
      <c r="E2294">
        <v>234</v>
      </c>
      <c r="F2294">
        <v>108</v>
      </c>
    </row>
    <row r="2295" spans="1:6" x14ac:dyDescent="0.2">
      <c r="A2295">
        <v>20200811</v>
      </c>
      <c r="B2295" t="s">
        <v>90</v>
      </c>
      <c r="C2295" t="s">
        <v>9</v>
      </c>
      <c r="D2295">
        <v>292</v>
      </c>
      <c r="E2295">
        <v>292</v>
      </c>
      <c r="F2295">
        <v>131</v>
      </c>
    </row>
    <row r="2296" spans="1:6" x14ac:dyDescent="0.2">
      <c r="A2296">
        <v>20200811</v>
      </c>
      <c r="B2296" t="s">
        <v>131</v>
      </c>
      <c r="C2296" t="s">
        <v>9</v>
      </c>
      <c r="D2296">
        <v>38</v>
      </c>
      <c r="E2296">
        <v>38</v>
      </c>
      <c r="F2296">
        <v>22</v>
      </c>
    </row>
    <row r="2297" spans="1:6" x14ac:dyDescent="0.2">
      <c r="A2297">
        <v>20200811</v>
      </c>
      <c r="B2297" t="s">
        <v>10</v>
      </c>
      <c r="C2297" t="s">
        <v>9</v>
      </c>
      <c r="D2297">
        <v>5</v>
      </c>
      <c r="E2297">
        <v>5</v>
      </c>
      <c r="F2297">
        <v>0</v>
      </c>
    </row>
    <row r="2298" spans="1:6" x14ac:dyDescent="0.2">
      <c r="A2298">
        <v>20200811</v>
      </c>
      <c r="B2298" t="s">
        <v>111</v>
      </c>
      <c r="C2298" t="s">
        <v>7</v>
      </c>
      <c r="D2298">
        <v>1</v>
      </c>
      <c r="E2298">
        <v>1</v>
      </c>
      <c r="F2298">
        <v>0</v>
      </c>
    </row>
    <row r="2299" spans="1:6" x14ac:dyDescent="0.2">
      <c r="A2299">
        <v>20200811</v>
      </c>
      <c r="B2299" t="s">
        <v>111</v>
      </c>
      <c r="C2299" t="s">
        <v>9</v>
      </c>
      <c r="D2299">
        <v>389</v>
      </c>
      <c r="E2299">
        <v>389</v>
      </c>
      <c r="F2299">
        <v>265</v>
      </c>
    </row>
    <row r="2300" spans="1:6" x14ac:dyDescent="0.2">
      <c r="A2300">
        <v>20200811</v>
      </c>
      <c r="C2300" t="s">
        <v>7</v>
      </c>
      <c r="D2300">
        <v>4546</v>
      </c>
      <c r="E2300">
        <v>0</v>
      </c>
      <c r="F2300">
        <v>0</v>
      </c>
    </row>
    <row r="2301" spans="1:6" x14ac:dyDescent="0.2">
      <c r="A2301">
        <v>20200811</v>
      </c>
      <c r="C2301" t="s">
        <v>9</v>
      </c>
      <c r="D2301">
        <v>4690</v>
      </c>
      <c r="E2301">
        <v>0</v>
      </c>
      <c r="F2301">
        <v>0</v>
      </c>
    </row>
  </sheetData>
  <autoFilter ref="A1:F2301" xr:uid="{B78F145C-F303-EC48-9849-3743AEB21EF0}">
    <sortState xmlns:xlrd2="http://schemas.microsoft.com/office/spreadsheetml/2017/richdata2" ref="A2:F2301">
      <sortCondition ref="A1:A2301"/>
    </sortState>
  </autoFilter>
  <pageMargins left="0.75" right="0.75" top="1" bottom="1" header="0.5" footer="0.5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171"/>
  <sheetViews>
    <sheetView zoomScale="150" zoomScaleNormal="150" workbookViewId="0">
      <selection activeCell="A5" sqref="A5:A9"/>
    </sheetView>
  </sheetViews>
  <sheetFormatPr baseColWidth="10" defaultRowHeight="16" x14ac:dyDescent="0.2"/>
  <cols>
    <col min="1" max="1" width="57.1640625" bestFit="1" customWidth="1"/>
  </cols>
  <sheetData>
    <row r="1" spans="1:4" x14ac:dyDescent="0.2">
      <c r="B1" s="5" t="s">
        <v>180</v>
      </c>
      <c r="C1" s="5"/>
    </row>
    <row r="2" spans="1:4" x14ac:dyDescent="0.2">
      <c r="A2" t="s">
        <v>175</v>
      </c>
      <c r="B2" t="s">
        <v>7</v>
      </c>
      <c r="C2" t="s">
        <v>9</v>
      </c>
      <c r="D2" t="s">
        <v>181</v>
      </c>
    </row>
    <row r="3" spans="1:4" x14ac:dyDescent="0.2">
      <c r="A3" t="s">
        <v>176</v>
      </c>
      <c r="B3">
        <v>1332437</v>
      </c>
      <c r="C3">
        <v>1640967</v>
      </c>
      <c r="D3" s="4">
        <f t="shared" ref="D3:D34" si="0">(C3-B3)/B3</f>
        <v>0.23155316161289427</v>
      </c>
    </row>
    <row r="4" spans="1:4" x14ac:dyDescent="0.2">
      <c r="A4" t="s">
        <v>177</v>
      </c>
      <c r="B4">
        <v>249915</v>
      </c>
      <c r="C4">
        <v>259677</v>
      </c>
      <c r="D4" s="4">
        <f t="shared" si="0"/>
        <v>3.9061280835484068E-2</v>
      </c>
    </row>
    <row r="5" spans="1:4" x14ac:dyDescent="0.2">
      <c r="A5" t="s">
        <v>11</v>
      </c>
      <c r="B5">
        <v>252052</v>
      </c>
      <c r="C5">
        <v>250430</v>
      </c>
      <c r="D5" s="4">
        <f t="shared" si="0"/>
        <v>-6.4351800422135117E-3</v>
      </c>
    </row>
    <row r="6" spans="1:4" x14ac:dyDescent="0.2">
      <c r="A6" t="s">
        <v>6</v>
      </c>
      <c r="B6">
        <v>63769</v>
      </c>
      <c r="C6">
        <v>192216</v>
      </c>
      <c r="D6" s="4">
        <f t="shared" si="0"/>
        <v>2.0142545751070271</v>
      </c>
    </row>
    <row r="7" spans="1:4" x14ac:dyDescent="0.2">
      <c r="A7" t="s">
        <v>22</v>
      </c>
      <c r="B7">
        <v>76557</v>
      </c>
      <c r="C7">
        <v>63185</v>
      </c>
      <c r="D7" s="4">
        <f t="shared" si="0"/>
        <v>-0.17466724140183132</v>
      </c>
    </row>
    <row r="8" spans="1:4" x14ac:dyDescent="0.2">
      <c r="A8" t="s">
        <v>68</v>
      </c>
      <c r="B8">
        <v>22011</v>
      </c>
      <c r="C8">
        <v>60479</v>
      </c>
      <c r="D8" s="4">
        <f t="shared" si="0"/>
        <v>1.7476716187360866</v>
      </c>
    </row>
    <row r="9" spans="1:4" x14ac:dyDescent="0.2">
      <c r="A9" t="s">
        <v>82</v>
      </c>
      <c r="B9">
        <v>105455</v>
      </c>
      <c r="C9">
        <v>52053</v>
      </c>
      <c r="D9" s="4">
        <f t="shared" si="0"/>
        <v>-0.50639609312028833</v>
      </c>
    </row>
    <row r="10" spans="1:4" x14ac:dyDescent="0.2">
      <c r="A10" t="s">
        <v>93</v>
      </c>
      <c r="B10">
        <v>76351</v>
      </c>
      <c r="C10">
        <v>47703</v>
      </c>
      <c r="D10" s="4">
        <f t="shared" si="0"/>
        <v>-0.37521447001349034</v>
      </c>
    </row>
    <row r="11" spans="1:4" x14ac:dyDescent="0.2">
      <c r="A11" t="s">
        <v>116</v>
      </c>
      <c r="B11">
        <v>42686</v>
      </c>
      <c r="C11">
        <v>42438</v>
      </c>
      <c r="D11" s="4">
        <f t="shared" si="0"/>
        <v>-5.8098674038326381E-3</v>
      </c>
    </row>
    <row r="12" spans="1:4" x14ac:dyDescent="0.2">
      <c r="A12" t="s">
        <v>13</v>
      </c>
      <c r="B12">
        <v>32491</v>
      </c>
      <c r="C12">
        <v>37875</v>
      </c>
      <c r="D12" s="4">
        <f t="shared" si="0"/>
        <v>0.16570742667200147</v>
      </c>
    </row>
    <row r="13" spans="1:4" x14ac:dyDescent="0.2">
      <c r="A13" t="s">
        <v>41</v>
      </c>
      <c r="B13">
        <v>26697</v>
      </c>
      <c r="C13">
        <v>30207</v>
      </c>
      <c r="D13" s="4">
        <f t="shared" si="0"/>
        <v>0.13147544667940217</v>
      </c>
    </row>
    <row r="14" spans="1:4" x14ac:dyDescent="0.2">
      <c r="A14" t="s">
        <v>45</v>
      </c>
      <c r="B14">
        <v>29117</v>
      </c>
      <c r="C14">
        <v>29142</v>
      </c>
      <c r="D14" s="4">
        <f t="shared" si="0"/>
        <v>8.5860493869560736E-4</v>
      </c>
    </row>
    <row r="15" spans="1:4" x14ac:dyDescent="0.2">
      <c r="A15" t="s">
        <v>101</v>
      </c>
      <c r="B15">
        <v>25595</v>
      </c>
      <c r="C15">
        <v>25708</v>
      </c>
      <c r="D15" s="4">
        <f t="shared" si="0"/>
        <v>4.4149247899980468E-3</v>
      </c>
    </row>
    <row r="16" spans="1:4" x14ac:dyDescent="0.2">
      <c r="A16" t="s">
        <v>34</v>
      </c>
      <c r="B16">
        <v>31959</v>
      </c>
      <c r="C16">
        <v>22516</v>
      </c>
      <c r="D16" s="4">
        <f t="shared" si="0"/>
        <v>-0.2954723239150161</v>
      </c>
    </row>
    <row r="17" spans="1:4" x14ac:dyDescent="0.2">
      <c r="A17" t="s">
        <v>55</v>
      </c>
      <c r="B17">
        <v>3</v>
      </c>
      <c r="C17">
        <v>21363</v>
      </c>
      <c r="D17" s="4">
        <f t="shared" si="0"/>
        <v>7120</v>
      </c>
    </row>
    <row r="18" spans="1:4" x14ac:dyDescent="0.2">
      <c r="A18" t="s">
        <v>48</v>
      </c>
      <c r="B18">
        <v>184</v>
      </c>
      <c r="C18">
        <v>20706</v>
      </c>
      <c r="D18" s="4">
        <f t="shared" si="0"/>
        <v>111.53260869565217</v>
      </c>
    </row>
    <row r="19" spans="1:4" x14ac:dyDescent="0.2">
      <c r="A19" t="s">
        <v>100</v>
      </c>
      <c r="B19">
        <v>9993</v>
      </c>
      <c r="C19">
        <v>19491</v>
      </c>
      <c r="D19" s="4">
        <f t="shared" si="0"/>
        <v>0.95046532572800957</v>
      </c>
    </row>
    <row r="20" spans="1:4" x14ac:dyDescent="0.2">
      <c r="A20" t="s">
        <v>16</v>
      </c>
      <c r="B20">
        <v>24318</v>
      </c>
      <c r="C20">
        <v>16460</v>
      </c>
      <c r="D20" s="4">
        <f t="shared" si="0"/>
        <v>-0.32313512624393453</v>
      </c>
    </row>
    <row r="21" spans="1:4" x14ac:dyDescent="0.2">
      <c r="A21" t="s">
        <v>123</v>
      </c>
      <c r="B21">
        <v>16212</v>
      </c>
      <c r="C21">
        <v>16237</v>
      </c>
      <c r="D21" s="4">
        <f t="shared" si="0"/>
        <v>1.5420676042437701E-3</v>
      </c>
    </row>
    <row r="22" spans="1:4" x14ac:dyDescent="0.2">
      <c r="A22" t="s">
        <v>104</v>
      </c>
      <c r="B22">
        <v>7418</v>
      </c>
      <c r="C22">
        <v>14537</v>
      </c>
      <c r="D22" s="4">
        <f t="shared" si="0"/>
        <v>0.95969263952547856</v>
      </c>
    </row>
    <row r="23" spans="1:4" x14ac:dyDescent="0.2">
      <c r="A23" t="s">
        <v>76</v>
      </c>
      <c r="B23">
        <v>15285</v>
      </c>
      <c r="C23">
        <v>14330</v>
      </c>
      <c r="D23" s="4">
        <f t="shared" si="0"/>
        <v>-6.2479555119398102E-2</v>
      </c>
    </row>
    <row r="24" spans="1:4" x14ac:dyDescent="0.2">
      <c r="A24" t="s">
        <v>108</v>
      </c>
      <c r="B24">
        <v>16661</v>
      </c>
      <c r="C24">
        <v>13994</v>
      </c>
      <c r="D24" s="4">
        <f t="shared" si="0"/>
        <v>-0.16007442530460356</v>
      </c>
    </row>
    <row r="25" spans="1:4" x14ac:dyDescent="0.2">
      <c r="A25" t="s">
        <v>38</v>
      </c>
      <c r="B25">
        <v>19631</v>
      </c>
      <c r="C25">
        <v>13489</v>
      </c>
      <c r="D25" s="4">
        <f t="shared" si="0"/>
        <v>-0.31287249758035762</v>
      </c>
    </row>
    <row r="26" spans="1:4" x14ac:dyDescent="0.2">
      <c r="A26" t="s">
        <v>39</v>
      </c>
      <c r="B26">
        <v>17310</v>
      </c>
      <c r="C26">
        <v>13398</v>
      </c>
      <c r="D26" s="4">
        <f t="shared" si="0"/>
        <v>-0.22599653379549395</v>
      </c>
    </row>
    <row r="27" spans="1:4" x14ac:dyDescent="0.2">
      <c r="A27" t="s">
        <v>87</v>
      </c>
      <c r="B27">
        <v>7029</v>
      </c>
      <c r="C27">
        <v>13196</v>
      </c>
      <c r="D27" s="4">
        <f t="shared" si="0"/>
        <v>0.87736520130886331</v>
      </c>
    </row>
    <row r="28" spans="1:4" x14ac:dyDescent="0.2">
      <c r="A28" t="s">
        <v>64</v>
      </c>
      <c r="B28">
        <v>3</v>
      </c>
      <c r="C28">
        <v>12081</v>
      </c>
      <c r="D28" s="4">
        <f t="shared" si="0"/>
        <v>4026</v>
      </c>
    </row>
    <row r="29" spans="1:4" x14ac:dyDescent="0.2">
      <c r="A29" t="s">
        <v>141</v>
      </c>
      <c r="B29">
        <v>5</v>
      </c>
      <c r="C29">
        <v>12052</v>
      </c>
      <c r="D29" s="4">
        <f t="shared" si="0"/>
        <v>2409.4</v>
      </c>
    </row>
    <row r="30" spans="1:4" x14ac:dyDescent="0.2">
      <c r="A30" t="s">
        <v>20</v>
      </c>
      <c r="B30">
        <v>4688</v>
      </c>
      <c r="C30">
        <v>12002</v>
      </c>
      <c r="D30" s="4">
        <f t="shared" si="0"/>
        <v>1.5601535836177474</v>
      </c>
    </row>
    <row r="31" spans="1:4" x14ac:dyDescent="0.2">
      <c r="A31" t="s">
        <v>111</v>
      </c>
      <c r="B31">
        <v>2</v>
      </c>
      <c r="C31">
        <v>10675</v>
      </c>
      <c r="D31" s="4">
        <f t="shared" si="0"/>
        <v>5336.5</v>
      </c>
    </row>
    <row r="32" spans="1:4" x14ac:dyDescent="0.2">
      <c r="A32" t="s">
        <v>85</v>
      </c>
      <c r="C32">
        <v>10536</v>
      </c>
      <c r="D32" s="4" t="e">
        <f t="shared" si="0"/>
        <v>#DIV/0!</v>
      </c>
    </row>
    <row r="33" spans="1:4" x14ac:dyDescent="0.2">
      <c r="A33" t="s">
        <v>132</v>
      </c>
      <c r="B33">
        <v>6</v>
      </c>
      <c r="C33">
        <v>10299</v>
      </c>
      <c r="D33" s="4">
        <f t="shared" si="0"/>
        <v>1715.5</v>
      </c>
    </row>
    <row r="34" spans="1:4" x14ac:dyDescent="0.2">
      <c r="A34" t="s">
        <v>69</v>
      </c>
      <c r="B34">
        <v>9844</v>
      </c>
      <c r="C34">
        <v>9780</v>
      </c>
      <c r="D34" s="4">
        <f t="shared" si="0"/>
        <v>-6.5014221861032099E-3</v>
      </c>
    </row>
    <row r="35" spans="1:4" x14ac:dyDescent="0.2">
      <c r="A35" t="s">
        <v>105</v>
      </c>
      <c r="B35">
        <v>8261</v>
      </c>
      <c r="C35">
        <v>8511</v>
      </c>
      <c r="D35" s="4">
        <f t="shared" ref="D35:D66" si="1">(C35-B35)/B35</f>
        <v>3.0262680062946374E-2</v>
      </c>
    </row>
    <row r="36" spans="1:4" x14ac:dyDescent="0.2">
      <c r="A36" t="s">
        <v>81</v>
      </c>
      <c r="B36">
        <v>7170</v>
      </c>
      <c r="C36">
        <v>7441</v>
      </c>
      <c r="D36" s="4">
        <f t="shared" si="1"/>
        <v>3.7796373779637377E-2</v>
      </c>
    </row>
    <row r="37" spans="1:4" x14ac:dyDescent="0.2">
      <c r="A37" t="s">
        <v>142</v>
      </c>
      <c r="B37">
        <v>7737</v>
      </c>
      <c r="C37">
        <v>7165</v>
      </c>
      <c r="D37" s="4">
        <f t="shared" si="1"/>
        <v>-7.3930464004135971E-2</v>
      </c>
    </row>
    <row r="38" spans="1:4" x14ac:dyDescent="0.2">
      <c r="A38" t="s">
        <v>72</v>
      </c>
      <c r="B38">
        <v>1919</v>
      </c>
      <c r="C38">
        <v>6974</v>
      </c>
      <c r="D38" s="4">
        <f t="shared" si="1"/>
        <v>2.634184471078687</v>
      </c>
    </row>
    <row r="39" spans="1:4" x14ac:dyDescent="0.2">
      <c r="A39" t="s">
        <v>119</v>
      </c>
      <c r="B39">
        <v>2727</v>
      </c>
      <c r="C39">
        <v>6557</v>
      </c>
      <c r="D39" s="4">
        <f t="shared" si="1"/>
        <v>1.4044737807114045</v>
      </c>
    </row>
    <row r="40" spans="1:4" x14ac:dyDescent="0.2">
      <c r="A40" t="s">
        <v>83</v>
      </c>
      <c r="B40">
        <v>3906</v>
      </c>
      <c r="C40">
        <v>6343</v>
      </c>
      <c r="D40" s="4">
        <f t="shared" si="1"/>
        <v>0.62391193036354331</v>
      </c>
    </row>
    <row r="41" spans="1:4" x14ac:dyDescent="0.2">
      <c r="A41" t="s">
        <v>86</v>
      </c>
      <c r="B41">
        <v>5753</v>
      </c>
      <c r="C41">
        <v>6245</v>
      </c>
      <c r="D41" s="4">
        <f t="shared" si="1"/>
        <v>8.5520597948896229E-2</v>
      </c>
    </row>
    <row r="42" spans="1:4" x14ac:dyDescent="0.2">
      <c r="A42" t="s">
        <v>122</v>
      </c>
      <c r="B42">
        <v>5</v>
      </c>
      <c r="C42">
        <v>6031</v>
      </c>
      <c r="D42" s="4">
        <f t="shared" si="1"/>
        <v>1205.2</v>
      </c>
    </row>
    <row r="43" spans="1:4" x14ac:dyDescent="0.2">
      <c r="A43" t="s">
        <v>63</v>
      </c>
      <c r="B43">
        <v>5898</v>
      </c>
      <c r="C43">
        <v>5901</v>
      </c>
      <c r="D43" s="4">
        <f t="shared" si="1"/>
        <v>5.0864699898270599E-4</v>
      </c>
    </row>
    <row r="44" spans="1:4" x14ac:dyDescent="0.2">
      <c r="A44" t="s">
        <v>23</v>
      </c>
      <c r="B44">
        <v>25</v>
      </c>
      <c r="C44">
        <v>5702</v>
      </c>
      <c r="D44" s="4">
        <f t="shared" si="1"/>
        <v>227.08</v>
      </c>
    </row>
    <row r="45" spans="1:4" x14ac:dyDescent="0.2">
      <c r="A45" t="s">
        <v>102</v>
      </c>
      <c r="C45">
        <v>5497</v>
      </c>
      <c r="D45" s="4" t="e">
        <f t="shared" si="1"/>
        <v>#DIV/0!</v>
      </c>
    </row>
    <row r="46" spans="1:4" x14ac:dyDescent="0.2">
      <c r="A46" t="s">
        <v>33</v>
      </c>
      <c r="B46">
        <v>3855</v>
      </c>
      <c r="C46">
        <v>5329</v>
      </c>
      <c r="D46" s="4">
        <f t="shared" si="1"/>
        <v>0.38236057068741891</v>
      </c>
    </row>
    <row r="47" spans="1:4" x14ac:dyDescent="0.2">
      <c r="A47" t="s">
        <v>75</v>
      </c>
      <c r="C47">
        <v>4967</v>
      </c>
      <c r="D47" s="4" t="e">
        <f t="shared" si="1"/>
        <v>#DIV/0!</v>
      </c>
    </row>
    <row r="48" spans="1:4" x14ac:dyDescent="0.2">
      <c r="A48" t="s">
        <v>25</v>
      </c>
      <c r="C48">
        <v>4923</v>
      </c>
      <c r="D48" s="4" t="e">
        <f t="shared" si="1"/>
        <v>#DIV/0!</v>
      </c>
    </row>
    <row r="49" spans="1:4" x14ac:dyDescent="0.2">
      <c r="A49" t="s">
        <v>36</v>
      </c>
      <c r="B49">
        <v>1413</v>
      </c>
      <c r="C49">
        <v>4887</v>
      </c>
      <c r="D49" s="4">
        <f t="shared" si="1"/>
        <v>2.4585987261146496</v>
      </c>
    </row>
    <row r="50" spans="1:4" x14ac:dyDescent="0.2">
      <c r="A50" t="s">
        <v>49</v>
      </c>
      <c r="B50">
        <v>4737</v>
      </c>
      <c r="C50">
        <v>4857</v>
      </c>
      <c r="D50" s="4">
        <f t="shared" si="1"/>
        <v>2.53324889170361E-2</v>
      </c>
    </row>
    <row r="51" spans="1:4" x14ac:dyDescent="0.2">
      <c r="A51" t="s">
        <v>154</v>
      </c>
      <c r="B51">
        <v>4975</v>
      </c>
      <c r="C51">
        <v>4851</v>
      </c>
      <c r="D51" s="4">
        <f t="shared" si="1"/>
        <v>-2.4924623115577891E-2</v>
      </c>
    </row>
    <row r="52" spans="1:4" x14ac:dyDescent="0.2">
      <c r="A52" t="s">
        <v>21</v>
      </c>
      <c r="B52">
        <v>4192</v>
      </c>
      <c r="C52">
        <v>4687</v>
      </c>
      <c r="D52" s="4">
        <f t="shared" si="1"/>
        <v>0.1180820610687023</v>
      </c>
    </row>
    <row r="53" spans="1:4" x14ac:dyDescent="0.2">
      <c r="A53" t="s">
        <v>95</v>
      </c>
      <c r="B53">
        <v>6773</v>
      </c>
      <c r="C53">
        <v>4617</v>
      </c>
      <c r="D53" s="4">
        <f t="shared" si="1"/>
        <v>-0.31832275210394212</v>
      </c>
    </row>
    <row r="54" spans="1:4" x14ac:dyDescent="0.2">
      <c r="A54" t="s">
        <v>54</v>
      </c>
      <c r="B54">
        <v>9</v>
      </c>
      <c r="C54">
        <v>4554</v>
      </c>
      <c r="D54" s="4">
        <f t="shared" si="1"/>
        <v>505</v>
      </c>
    </row>
    <row r="55" spans="1:4" x14ac:dyDescent="0.2">
      <c r="A55" t="s">
        <v>165</v>
      </c>
      <c r="B55">
        <v>4476</v>
      </c>
      <c r="C55">
        <v>4480</v>
      </c>
      <c r="D55" s="4">
        <f t="shared" si="1"/>
        <v>8.9365504915102768E-4</v>
      </c>
    </row>
    <row r="56" spans="1:4" x14ac:dyDescent="0.2">
      <c r="A56" t="s">
        <v>118</v>
      </c>
      <c r="B56">
        <v>2185</v>
      </c>
      <c r="C56">
        <v>4463</v>
      </c>
      <c r="D56" s="4">
        <f t="shared" si="1"/>
        <v>1.0425629290617848</v>
      </c>
    </row>
    <row r="57" spans="1:4" x14ac:dyDescent="0.2">
      <c r="A57" t="s">
        <v>78</v>
      </c>
      <c r="B57">
        <v>11782</v>
      </c>
      <c r="C57">
        <v>4152</v>
      </c>
      <c r="D57" s="4">
        <f t="shared" si="1"/>
        <v>-0.64759803089458501</v>
      </c>
    </row>
    <row r="58" spans="1:4" x14ac:dyDescent="0.2">
      <c r="A58" t="s">
        <v>88</v>
      </c>
      <c r="B58">
        <v>321</v>
      </c>
      <c r="C58">
        <v>3697</v>
      </c>
      <c r="D58" s="4">
        <f t="shared" si="1"/>
        <v>10.517133956386292</v>
      </c>
    </row>
    <row r="59" spans="1:4" x14ac:dyDescent="0.2">
      <c r="A59" t="s">
        <v>24</v>
      </c>
      <c r="B59">
        <v>217</v>
      </c>
      <c r="C59">
        <v>3694</v>
      </c>
      <c r="D59" s="4">
        <f t="shared" si="1"/>
        <v>16.023041474654377</v>
      </c>
    </row>
    <row r="60" spans="1:4" x14ac:dyDescent="0.2">
      <c r="A60" t="s">
        <v>14</v>
      </c>
      <c r="B60">
        <v>1570</v>
      </c>
      <c r="C60">
        <v>3663</v>
      </c>
      <c r="D60" s="4">
        <f t="shared" si="1"/>
        <v>1.3331210191082803</v>
      </c>
    </row>
    <row r="61" spans="1:4" x14ac:dyDescent="0.2">
      <c r="A61" t="s">
        <v>127</v>
      </c>
      <c r="B61">
        <v>4209</v>
      </c>
      <c r="C61">
        <v>3551</v>
      </c>
      <c r="D61" s="4">
        <f t="shared" si="1"/>
        <v>-0.15633167023045855</v>
      </c>
    </row>
    <row r="62" spans="1:4" x14ac:dyDescent="0.2">
      <c r="A62" t="s">
        <v>90</v>
      </c>
      <c r="B62">
        <v>5173</v>
      </c>
      <c r="C62">
        <v>3550</v>
      </c>
      <c r="D62" s="4">
        <f t="shared" si="1"/>
        <v>-0.31374444229653975</v>
      </c>
    </row>
    <row r="63" spans="1:4" x14ac:dyDescent="0.2">
      <c r="A63" t="s">
        <v>125</v>
      </c>
      <c r="C63">
        <v>3532</v>
      </c>
      <c r="D63" s="4" t="e">
        <f t="shared" si="1"/>
        <v>#DIV/0!</v>
      </c>
    </row>
    <row r="64" spans="1:4" x14ac:dyDescent="0.2">
      <c r="A64" t="s">
        <v>152</v>
      </c>
      <c r="B64">
        <v>1</v>
      </c>
      <c r="C64">
        <v>3483</v>
      </c>
      <c r="D64" s="4">
        <f t="shared" si="1"/>
        <v>3482</v>
      </c>
    </row>
    <row r="65" spans="1:4" x14ac:dyDescent="0.2">
      <c r="A65" t="s">
        <v>57</v>
      </c>
      <c r="B65">
        <v>6791</v>
      </c>
      <c r="C65">
        <v>3470</v>
      </c>
      <c r="D65" s="4">
        <f t="shared" si="1"/>
        <v>-0.48902959799734941</v>
      </c>
    </row>
    <row r="66" spans="1:4" x14ac:dyDescent="0.2">
      <c r="A66" t="s">
        <v>170</v>
      </c>
      <c r="B66">
        <v>3308</v>
      </c>
      <c r="C66">
        <v>3465</v>
      </c>
      <c r="D66" s="4">
        <f t="shared" si="1"/>
        <v>4.746070133010883E-2</v>
      </c>
    </row>
    <row r="67" spans="1:4" x14ac:dyDescent="0.2">
      <c r="A67" t="s">
        <v>146</v>
      </c>
      <c r="B67">
        <v>318</v>
      </c>
      <c r="C67">
        <v>3332</v>
      </c>
      <c r="D67" s="4">
        <f t="shared" ref="D67:D98" si="2">(C67-B67)/B67</f>
        <v>9.4779874213836486</v>
      </c>
    </row>
    <row r="68" spans="1:4" x14ac:dyDescent="0.2">
      <c r="A68" t="s">
        <v>70</v>
      </c>
      <c r="B68">
        <v>2</v>
      </c>
      <c r="C68">
        <v>3293</v>
      </c>
      <c r="D68" s="4">
        <f t="shared" si="2"/>
        <v>1645.5</v>
      </c>
    </row>
    <row r="69" spans="1:4" x14ac:dyDescent="0.2">
      <c r="A69" t="s">
        <v>12</v>
      </c>
      <c r="B69">
        <v>3388</v>
      </c>
      <c r="C69">
        <v>3212</v>
      </c>
      <c r="D69" s="4">
        <f t="shared" si="2"/>
        <v>-5.1948051948051951E-2</v>
      </c>
    </row>
    <row r="70" spans="1:4" x14ac:dyDescent="0.2">
      <c r="A70" t="s">
        <v>114</v>
      </c>
      <c r="B70">
        <v>173</v>
      </c>
      <c r="C70">
        <v>3204</v>
      </c>
      <c r="D70" s="4">
        <f t="shared" si="2"/>
        <v>17.520231213872833</v>
      </c>
    </row>
    <row r="71" spans="1:4" x14ac:dyDescent="0.2">
      <c r="A71" t="s">
        <v>129</v>
      </c>
      <c r="B71">
        <v>3113</v>
      </c>
      <c r="C71">
        <v>3192</v>
      </c>
      <c r="D71" s="4">
        <f t="shared" si="2"/>
        <v>2.5377449405717956E-2</v>
      </c>
    </row>
    <row r="72" spans="1:4" x14ac:dyDescent="0.2">
      <c r="A72" t="s">
        <v>92</v>
      </c>
      <c r="C72">
        <v>3084</v>
      </c>
      <c r="D72" s="4" t="e">
        <f t="shared" si="2"/>
        <v>#DIV/0!</v>
      </c>
    </row>
    <row r="73" spans="1:4" x14ac:dyDescent="0.2">
      <c r="A73" t="s">
        <v>140</v>
      </c>
      <c r="B73">
        <v>2819</v>
      </c>
      <c r="C73">
        <v>2894</v>
      </c>
      <c r="D73" s="4">
        <f t="shared" si="2"/>
        <v>2.6605179141539554E-2</v>
      </c>
    </row>
    <row r="74" spans="1:4" x14ac:dyDescent="0.2">
      <c r="A74" t="s">
        <v>17</v>
      </c>
      <c r="B74">
        <v>930</v>
      </c>
      <c r="C74">
        <v>2884</v>
      </c>
      <c r="D74" s="4">
        <f t="shared" si="2"/>
        <v>2.1010752688172043</v>
      </c>
    </row>
    <row r="75" spans="1:4" x14ac:dyDescent="0.2">
      <c r="A75" t="s">
        <v>15</v>
      </c>
      <c r="B75">
        <v>4</v>
      </c>
      <c r="C75">
        <v>2802</v>
      </c>
      <c r="D75" s="4">
        <f t="shared" si="2"/>
        <v>699.5</v>
      </c>
    </row>
    <row r="76" spans="1:4" x14ac:dyDescent="0.2">
      <c r="A76" t="s">
        <v>84</v>
      </c>
      <c r="C76">
        <v>2783</v>
      </c>
      <c r="D76" s="4" t="e">
        <f t="shared" si="2"/>
        <v>#DIV/0!</v>
      </c>
    </row>
    <row r="77" spans="1:4" x14ac:dyDescent="0.2">
      <c r="A77" t="s">
        <v>159</v>
      </c>
      <c r="B77">
        <v>1811</v>
      </c>
      <c r="C77">
        <v>2778</v>
      </c>
      <c r="D77" s="4">
        <f t="shared" si="2"/>
        <v>0.53395913859745991</v>
      </c>
    </row>
    <row r="78" spans="1:4" x14ac:dyDescent="0.2">
      <c r="A78" t="s">
        <v>35</v>
      </c>
      <c r="B78">
        <v>9</v>
      </c>
      <c r="C78">
        <v>2694</v>
      </c>
      <c r="D78" s="4">
        <f t="shared" si="2"/>
        <v>298.33333333333331</v>
      </c>
    </row>
    <row r="79" spans="1:4" x14ac:dyDescent="0.2">
      <c r="A79" t="s">
        <v>131</v>
      </c>
      <c r="B79">
        <v>2406</v>
      </c>
      <c r="C79">
        <v>2496</v>
      </c>
      <c r="D79" s="4">
        <f t="shared" si="2"/>
        <v>3.7406483790523692E-2</v>
      </c>
    </row>
    <row r="80" spans="1:4" x14ac:dyDescent="0.2">
      <c r="A80" t="s">
        <v>31</v>
      </c>
      <c r="B80">
        <v>327</v>
      </c>
      <c r="C80">
        <v>2482</v>
      </c>
      <c r="D80" s="4">
        <f t="shared" si="2"/>
        <v>6.5902140672782874</v>
      </c>
    </row>
    <row r="81" spans="1:4" x14ac:dyDescent="0.2">
      <c r="A81" t="s">
        <v>40</v>
      </c>
      <c r="B81">
        <v>3126</v>
      </c>
      <c r="C81">
        <v>2314</v>
      </c>
      <c r="D81" s="4">
        <f t="shared" si="2"/>
        <v>-0.25975687779910428</v>
      </c>
    </row>
    <row r="82" spans="1:4" x14ac:dyDescent="0.2">
      <c r="A82" t="s">
        <v>98</v>
      </c>
      <c r="B82">
        <v>312</v>
      </c>
      <c r="C82">
        <v>2242</v>
      </c>
      <c r="D82" s="4">
        <f t="shared" si="2"/>
        <v>6.1858974358974361</v>
      </c>
    </row>
    <row r="83" spans="1:4" x14ac:dyDescent="0.2">
      <c r="A83" t="s">
        <v>46</v>
      </c>
      <c r="B83">
        <v>8</v>
      </c>
      <c r="C83">
        <v>2203</v>
      </c>
      <c r="D83" s="4">
        <f t="shared" si="2"/>
        <v>274.375</v>
      </c>
    </row>
    <row r="84" spans="1:4" x14ac:dyDescent="0.2">
      <c r="A84" t="s">
        <v>109</v>
      </c>
      <c r="C84">
        <v>2164</v>
      </c>
      <c r="D84" s="4" t="e">
        <f t="shared" si="2"/>
        <v>#DIV/0!</v>
      </c>
    </row>
    <row r="85" spans="1:4" x14ac:dyDescent="0.2">
      <c r="A85" t="s">
        <v>37</v>
      </c>
      <c r="B85">
        <v>3561</v>
      </c>
      <c r="C85">
        <v>2008</v>
      </c>
      <c r="D85" s="4">
        <f t="shared" si="2"/>
        <v>-0.43611345127773099</v>
      </c>
    </row>
    <row r="86" spans="1:4" x14ac:dyDescent="0.2">
      <c r="A86" t="s">
        <v>19</v>
      </c>
      <c r="B86">
        <v>3622</v>
      </c>
      <c r="C86">
        <v>2007</v>
      </c>
      <c r="D86" s="4">
        <f t="shared" si="2"/>
        <v>-0.44588625069022642</v>
      </c>
    </row>
    <row r="87" spans="1:4" x14ac:dyDescent="0.2">
      <c r="A87" t="s">
        <v>58</v>
      </c>
      <c r="C87">
        <v>1882</v>
      </c>
      <c r="D87" s="4" t="e">
        <f t="shared" si="2"/>
        <v>#DIV/0!</v>
      </c>
    </row>
    <row r="88" spans="1:4" x14ac:dyDescent="0.2">
      <c r="A88" t="s">
        <v>149</v>
      </c>
      <c r="B88">
        <v>19</v>
      </c>
      <c r="C88">
        <v>1861</v>
      </c>
      <c r="D88" s="4">
        <f t="shared" si="2"/>
        <v>96.94736842105263</v>
      </c>
    </row>
    <row r="89" spans="1:4" x14ac:dyDescent="0.2">
      <c r="A89" t="s">
        <v>65</v>
      </c>
      <c r="B89">
        <v>53</v>
      </c>
      <c r="C89">
        <v>1838</v>
      </c>
      <c r="D89" s="4">
        <f t="shared" si="2"/>
        <v>33.679245283018865</v>
      </c>
    </row>
    <row r="90" spans="1:4" x14ac:dyDescent="0.2">
      <c r="A90" t="s">
        <v>28</v>
      </c>
      <c r="C90">
        <v>1837</v>
      </c>
      <c r="D90" s="4" t="e">
        <f t="shared" si="2"/>
        <v>#DIV/0!</v>
      </c>
    </row>
    <row r="91" spans="1:4" x14ac:dyDescent="0.2">
      <c r="A91" t="s">
        <v>73</v>
      </c>
      <c r="B91">
        <v>16</v>
      </c>
      <c r="C91">
        <v>1793</v>
      </c>
      <c r="D91" s="4">
        <f t="shared" si="2"/>
        <v>111.0625</v>
      </c>
    </row>
    <row r="92" spans="1:4" x14ac:dyDescent="0.2">
      <c r="A92" t="s">
        <v>155</v>
      </c>
      <c r="B92">
        <v>6</v>
      </c>
      <c r="C92">
        <v>1786</v>
      </c>
      <c r="D92" s="4">
        <f t="shared" si="2"/>
        <v>296.66666666666669</v>
      </c>
    </row>
    <row r="93" spans="1:4" x14ac:dyDescent="0.2">
      <c r="A93" t="s">
        <v>53</v>
      </c>
      <c r="C93">
        <v>1744</v>
      </c>
      <c r="D93" s="4" t="e">
        <f t="shared" si="2"/>
        <v>#DIV/0!</v>
      </c>
    </row>
    <row r="94" spans="1:4" x14ac:dyDescent="0.2">
      <c r="A94" t="s">
        <v>173</v>
      </c>
      <c r="C94">
        <v>1696</v>
      </c>
      <c r="D94" s="4" t="e">
        <f t="shared" si="2"/>
        <v>#DIV/0!</v>
      </c>
    </row>
    <row r="95" spans="1:4" x14ac:dyDescent="0.2">
      <c r="A95" t="s">
        <v>124</v>
      </c>
      <c r="C95">
        <v>1606</v>
      </c>
      <c r="D95" s="4" t="e">
        <f t="shared" si="2"/>
        <v>#DIV/0!</v>
      </c>
    </row>
    <row r="96" spans="1:4" x14ac:dyDescent="0.2">
      <c r="A96" t="s">
        <v>163</v>
      </c>
      <c r="B96">
        <v>127</v>
      </c>
      <c r="C96">
        <v>1561</v>
      </c>
      <c r="D96" s="4">
        <f t="shared" si="2"/>
        <v>11.291338582677165</v>
      </c>
    </row>
    <row r="97" spans="1:4" x14ac:dyDescent="0.2">
      <c r="A97" t="s">
        <v>136</v>
      </c>
      <c r="B97">
        <v>1724</v>
      </c>
      <c r="C97">
        <v>1516</v>
      </c>
      <c r="D97" s="4">
        <f t="shared" si="2"/>
        <v>-0.12064965197215777</v>
      </c>
    </row>
    <row r="98" spans="1:4" x14ac:dyDescent="0.2">
      <c r="A98" t="s">
        <v>135</v>
      </c>
      <c r="B98">
        <v>3</v>
      </c>
      <c r="C98">
        <v>1458</v>
      </c>
      <c r="D98" s="4">
        <f t="shared" si="2"/>
        <v>485</v>
      </c>
    </row>
    <row r="99" spans="1:4" x14ac:dyDescent="0.2">
      <c r="A99" t="s">
        <v>27</v>
      </c>
      <c r="B99">
        <v>1</v>
      </c>
      <c r="C99">
        <v>1414</v>
      </c>
      <c r="D99" s="4">
        <f t="shared" ref="D99:D130" si="3">(C99-B99)/B99</f>
        <v>1413</v>
      </c>
    </row>
    <row r="100" spans="1:4" x14ac:dyDescent="0.2">
      <c r="A100" t="s">
        <v>94</v>
      </c>
      <c r="C100">
        <v>1406</v>
      </c>
      <c r="D100" s="4" t="e">
        <f t="shared" si="3"/>
        <v>#DIV/0!</v>
      </c>
    </row>
    <row r="101" spans="1:4" x14ac:dyDescent="0.2">
      <c r="A101" t="s">
        <v>62</v>
      </c>
      <c r="B101">
        <v>69</v>
      </c>
      <c r="C101">
        <v>1395</v>
      </c>
      <c r="D101" s="4">
        <f t="shared" si="3"/>
        <v>19.217391304347824</v>
      </c>
    </row>
    <row r="102" spans="1:4" x14ac:dyDescent="0.2">
      <c r="A102" t="s">
        <v>121</v>
      </c>
      <c r="B102">
        <v>1335</v>
      </c>
      <c r="C102">
        <v>1393</v>
      </c>
      <c r="D102" s="4">
        <f t="shared" si="3"/>
        <v>4.3445692883895132E-2</v>
      </c>
    </row>
    <row r="103" spans="1:4" x14ac:dyDescent="0.2">
      <c r="A103" t="s">
        <v>51</v>
      </c>
      <c r="B103">
        <v>836</v>
      </c>
      <c r="C103">
        <v>1320</v>
      </c>
      <c r="D103" s="4">
        <f t="shared" si="3"/>
        <v>0.57894736842105265</v>
      </c>
    </row>
    <row r="104" spans="1:4" x14ac:dyDescent="0.2">
      <c r="A104" t="s">
        <v>71</v>
      </c>
      <c r="B104">
        <v>972</v>
      </c>
      <c r="C104">
        <v>1314</v>
      </c>
      <c r="D104" s="4">
        <f t="shared" si="3"/>
        <v>0.35185185185185186</v>
      </c>
    </row>
    <row r="105" spans="1:4" x14ac:dyDescent="0.2">
      <c r="A105" t="s">
        <v>74</v>
      </c>
      <c r="C105">
        <v>1251</v>
      </c>
      <c r="D105" s="4" t="e">
        <f t="shared" si="3"/>
        <v>#DIV/0!</v>
      </c>
    </row>
    <row r="106" spans="1:4" x14ac:dyDescent="0.2">
      <c r="A106" t="s">
        <v>144</v>
      </c>
      <c r="B106">
        <v>629</v>
      </c>
      <c r="C106">
        <v>1245</v>
      </c>
      <c r="D106" s="4">
        <f t="shared" si="3"/>
        <v>0.97933227344992047</v>
      </c>
    </row>
    <row r="107" spans="1:4" x14ac:dyDescent="0.2">
      <c r="A107" t="s">
        <v>115</v>
      </c>
      <c r="B107">
        <v>102</v>
      </c>
      <c r="C107">
        <v>1233</v>
      </c>
      <c r="D107" s="4">
        <f t="shared" si="3"/>
        <v>11.088235294117647</v>
      </c>
    </row>
    <row r="108" spans="1:4" x14ac:dyDescent="0.2">
      <c r="A108" t="s">
        <v>103</v>
      </c>
      <c r="B108">
        <v>890</v>
      </c>
      <c r="C108">
        <v>1196</v>
      </c>
      <c r="D108" s="4">
        <f t="shared" si="3"/>
        <v>0.34382022471910112</v>
      </c>
    </row>
    <row r="109" spans="1:4" x14ac:dyDescent="0.2">
      <c r="A109" t="s">
        <v>77</v>
      </c>
      <c r="B109">
        <v>679</v>
      </c>
      <c r="C109">
        <v>1165</v>
      </c>
      <c r="D109" s="4">
        <f t="shared" si="3"/>
        <v>0.71575846833578793</v>
      </c>
    </row>
    <row r="110" spans="1:4" x14ac:dyDescent="0.2">
      <c r="A110" t="s">
        <v>158</v>
      </c>
      <c r="B110">
        <v>43</v>
      </c>
      <c r="C110">
        <v>1152</v>
      </c>
      <c r="D110" s="4">
        <f t="shared" si="3"/>
        <v>25.790697674418606</v>
      </c>
    </row>
    <row r="111" spans="1:4" x14ac:dyDescent="0.2">
      <c r="A111" t="s">
        <v>147</v>
      </c>
      <c r="B111">
        <v>6</v>
      </c>
      <c r="C111">
        <v>1136</v>
      </c>
      <c r="D111" s="4">
        <f t="shared" si="3"/>
        <v>188.33333333333334</v>
      </c>
    </row>
    <row r="112" spans="1:4" x14ac:dyDescent="0.2">
      <c r="A112" t="s">
        <v>156</v>
      </c>
      <c r="C112">
        <v>1136</v>
      </c>
      <c r="D112" s="4" t="e">
        <f t="shared" si="3"/>
        <v>#DIV/0!</v>
      </c>
    </row>
    <row r="113" spans="1:4" x14ac:dyDescent="0.2">
      <c r="A113" t="s">
        <v>139</v>
      </c>
      <c r="B113">
        <v>1045</v>
      </c>
      <c r="C113">
        <v>1122</v>
      </c>
      <c r="D113" s="4">
        <f t="shared" si="3"/>
        <v>7.3684210526315783E-2</v>
      </c>
    </row>
    <row r="114" spans="1:4" x14ac:dyDescent="0.2">
      <c r="A114" t="s">
        <v>80</v>
      </c>
      <c r="B114">
        <v>29</v>
      </c>
      <c r="C114">
        <v>1026</v>
      </c>
      <c r="D114" s="4">
        <f t="shared" si="3"/>
        <v>34.379310344827587</v>
      </c>
    </row>
    <row r="115" spans="1:4" x14ac:dyDescent="0.2">
      <c r="A115" t="s">
        <v>30</v>
      </c>
      <c r="C115">
        <v>997</v>
      </c>
      <c r="D115" s="4" t="e">
        <f t="shared" si="3"/>
        <v>#DIV/0!</v>
      </c>
    </row>
    <row r="116" spans="1:4" x14ac:dyDescent="0.2">
      <c r="A116" t="s">
        <v>166</v>
      </c>
      <c r="B116">
        <v>856</v>
      </c>
      <c r="C116">
        <v>936</v>
      </c>
      <c r="D116" s="4">
        <f t="shared" si="3"/>
        <v>9.3457943925233641E-2</v>
      </c>
    </row>
    <row r="117" spans="1:4" x14ac:dyDescent="0.2">
      <c r="A117" t="s">
        <v>134</v>
      </c>
      <c r="C117">
        <v>890</v>
      </c>
      <c r="D117" s="4" t="e">
        <f t="shared" si="3"/>
        <v>#DIV/0!</v>
      </c>
    </row>
    <row r="118" spans="1:4" x14ac:dyDescent="0.2">
      <c r="A118" t="s">
        <v>99</v>
      </c>
      <c r="C118">
        <v>880</v>
      </c>
      <c r="D118" s="4" t="e">
        <f t="shared" si="3"/>
        <v>#DIV/0!</v>
      </c>
    </row>
    <row r="119" spans="1:4" x14ac:dyDescent="0.2">
      <c r="A119" t="s">
        <v>161</v>
      </c>
      <c r="B119">
        <v>834</v>
      </c>
      <c r="C119">
        <v>876</v>
      </c>
      <c r="D119" s="4">
        <f t="shared" si="3"/>
        <v>5.0359712230215826E-2</v>
      </c>
    </row>
    <row r="120" spans="1:4" x14ac:dyDescent="0.2">
      <c r="A120" t="s">
        <v>157</v>
      </c>
      <c r="C120">
        <v>802</v>
      </c>
      <c r="D120" s="4" t="e">
        <f t="shared" si="3"/>
        <v>#DIV/0!</v>
      </c>
    </row>
    <row r="121" spans="1:4" x14ac:dyDescent="0.2">
      <c r="A121" t="s">
        <v>150</v>
      </c>
      <c r="B121">
        <v>15</v>
      </c>
      <c r="C121">
        <v>793</v>
      </c>
      <c r="D121" s="4">
        <f t="shared" si="3"/>
        <v>51.866666666666667</v>
      </c>
    </row>
    <row r="122" spans="1:4" x14ac:dyDescent="0.2">
      <c r="A122" t="s">
        <v>162</v>
      </c>
      <c r="C122">
        <v>785</v>
      </c>
      <c r="D122" s="4" t="e">
        <f t="shared" si="3"/>
        <v>#DIV/0!</v>
      </c>
    </row>
    <row r="123" spans="1:4" x14ac:dyDescent="0.2">
      <c r="A123" t="s">
        <v>160</v>
      </c>
      <c r="C123">
        <v>768</v>
      </c>
      <c r="D123" s="4" t="e">
        <f t="shared" si="3"/>
        <v>#DIV/0!</v>
      </c>
    </row>
    <row r="124" spans="1:4" x14ac:dyDescent="0.2">
      <c r="A124" t="s">
        <v>138</v>
      </c>
      <c r="C124">
        <v>694</v>
      </c>
      <c r="D124" s="4" t="e">
        <f t="shared" si="3"/>
        <v>#DIV/0!</v>
      </c>
    </row>
    <row r="125" spans="1:4" x14ac:dyDescent="0.2">
      <c r="A125" t="s">
        <v>50</v>
      </c>
      <c r="C125">
        <v>684</v>
      </c>
      <c r="D125" s="4" t="e">
        <f t="shared" si="3"/>
        <v>#DIV/0!</v>
      </c>
    </row>
    <row r="126" spans="1:4" x14ac:dyDescent="0.2">
      <c r="A126" t="s">
        <v>128</v>
      </c>
      <c r="C126">
        <v>661</v>
      </c>
      <c r="D126" s="4" t="e">
        <f t="shared" si="3"/>
        <v>#DIV/0!</v>
      </c>
    </row>
    <row r="127" spans="1:4" x14ac:dyDescent="0.2">
      <c r="A127" t="s">
        <v>117</v>
      </c>
      <c r="C127">
        <v>650</v>
      </c>
      <c r="D127" s="4" t="e">
        <f t="shared" si="3"/>
        <v>#DIV/0!</v>
      </c>
    </row>
    <row r="128" spans="1:4" x14ac:dyDescent="0.2">
      <c r="A128" t="s">
        <v>164</v>
      </c>
      <c r="C128">
        <v>582</v>
      </c>
      <c r="D128" s="4" t="e">
        <f t="shared" si="3"/>
        <v>#DIV/0!</v>
      </c>
    </row>
    <row r="129" spans="1:4" x14ac:dyDescent="0.2">
      <c r="A129" t="s">
        <v>52</v>
      </c>
      <c r="B129">
        <v>623</v>
      </c>
      <c r="C129">
        <v>562</v>
      </c>
      <c r="D129" s="4">
        <f t="shared" si="3"/>
        <v>-9.7913322632423749E-2</v>
      </c>
    </row>
    <row r="130" spans="1:4" x14ac:dyDescent="0.2">
      <c r="A130" t="s">
        <v>169</v>
      </c>
      <c r="C130">
        <v>559</v>
      </c>
      <c r="D130" s="4" t="e">
        <f t="shared" si="3"/>
        <v>#DIV/0!</v>
      </c>
    </row>
    <row r="131" spans="1:4" x14ac:dyDescent="0.2">
      <c r="A131" t="s">
        <v>91</v>
      </c>
      <c r="B131">
        <v>83</v>
      </c>
      <c r="C131">
        <v>514</v>
      </c>
      <c r="D131" s="4">
        <f t="shared" ref="D131:D162" si="4">(C131-B131)/B131</f>
        <v>5.1927710843373491</v>
      </c>
    </row>
    <row r="132" spans="1:4" x14ac:dyDescent="0.2">
      <c r="A132" t="s">
        <v>96</v>
      </c>
      <c r="C132">
        <v>442</v>
      </c>
      <c r="D132" s="4" t="e">
        <f t="shared" si="4"/>
        <v>#DIV/0!</v>
      </c>
    </row>
    <row r="133" spans="1:4" x14ac:dyDescent="0.2">
      <c r="A133" t="s">
        <v>66</v>
      </c>
      <c r="B133">
        <v>287</v>
      </c>
      <c r="C133">
        <v>378</v>
      </c>
      <c r="D133" s="4">
        <f t="shared" si="4"/>
        <v>0.31707317073170732</v>
      </c>
    </row>
    <row r="134" spans="1:4" x14ac:dyDescent="0.2">
      <c r="A134" t="s">
        <v>106</v>
      </c>
      <c r="B134">
        <v>312</v>
      </c>
      <c r="C134">
        <v>361</v>
      </c>
      <c r="D134" s="4">
        <f t="shared" si="4"/>
        <v>0.15705128205128205</v>
      </c>
    </row>
    <row r="135" spans="1:4" x14ac:dyDescent="0.2">
      <c r="A135" t="s">
        <v>107</v>
      </c>
      <c r="B135">
        <v>705</v>
      </c>
      <c r="C135">
        <v>316</v>
      </c>
      <c r="D135" s="4">
        <f t="shared" si="4"/>
        <v>-0.55177304964539009</v>
      </c>
    </row>
    <row r="136" spans="1:4" x14ac:dyDescent="0.2">
      <c r="A136" t="s">
        <v>56</v>
      </c>
      <c r="C136">
        <v>297</v>
      </c>
      <c r="D136" s="4" t="e">
        <f t="shared" si="4"/>
        <v>#DIV/0!</v>
      </c>
    </row>
    <row r="137" spans="1:4" x14ac:dyDescent="0.2">
      <c r="A137" t="s">
        <v>167</v>
      </c>
      <c r="B137">
        <v>1087</v>
      </c>
      <c r="C137">
        <v>282</v>
      </c>
      <c r="D137" s="4">
        <f t="shared" si="4"/>
        <v>-0.74057037718491259</v>
      </c>
    </row>
    <row r="138" spans="1:4" x14ac:dyDescent="0.2">
      <c r="A138" t="s">
        <v>145</v>
      </c>
      <c r="C138">
        <v>264</v>
      </c>
      <c r="D138" s="4" t="e">
        <f t="shared" si="4"/>
        <v>#DIV/0!</v>
      </c>
    </row>
    <row r="139" spans="1:4" x14ac:dyDescent="0.2">
      <c r="A139" t="s">
        <v>79</v>
      </c>
      <c r="C139">
        <v>253</v>
      </c>
      <c r="D139" s="4" t="e">
        <f t="shared" si="4"/>
        <v>#DIV/0!</v>
      </c>
    </row>
    <row r="140" spans="1:4" x14ac:dyDescent="0.2">
      <c r="A140" t="s">
        <v>153</v>
      </c>
      <c r="C140">
        <v>168</v>
      </c>
      <c r="D140" s="4" t="e">
        <f t="shared" si="4"/>
        <v>#DIV/0!</v>
      </c>
    </row>
    <row r="141" spans="1:4" x14ac:dyDescent="0.2">
      <c r="A141" t="s">
        <v>18</v>
      </c>
      <c r="B141">
        <v>164</v>
      </c>
      <c r="C141">
        <v>160</v>
      </c>
      <c r="D141" s="4">
        <f t="shared" si="4"/>
        <v>-2.4390243902439025E-2</v>
      </c>
    </row>
    <row r="142" spans="1:4" x14ac:dyDescent="0.2">
      <c r="A142" t="s">
        <v>110</v>
      </c>
      <c r="B142">
        <v>312</v>
      </c>
      <c r="C142">
        <v>118</v>
      </c>
      <c r="D142" s="4">
        <f t="shared" si="4"/>
        <v>-0.62179487179487181</v>
      </c>
    </row>
    <row r="143" spans="1:4" x14ac:dyDescent="0.2">
      <c r="A143" t="s">
        <v>29</v>
      </c>
      <c r="B143">
        <v>5</v>
      </c>
      <c r="C143">
        <v>110</v>
      </c>
      <c r="D143" s="4">
        <f t="shared" si="4"/>
        <v>21</v>
      </c>
    </row>
    <row r="144" spans="1:4" x14ac:dyDescent="0.2">
      <c r="A144" t="s">
        <v>143</v>
      </c>
      <c r="C144">
        <v>86</v>
      </c>
      <c r="D144" s="4" t="e">
        <f t="shared" si="4"/>
        <v>#DIV/0!</v>
      </c>
    </row>
    <row r="145" spans="1:4" x14ac:dyDescent="0.2">
      <c r="A145" t="s">
        <v>43</v>
      </c>
      <c r="C145">
        <v>79</v>
      </c>
      <c r="D145" s="4" t="e">
        <f t="shared" si="4"/>
        <v>#DIV/0!</v>
      </c>
    </row>
    <row r="146" spans="1:4" x14ac:dyDescent="0.2">
      <c r="A146" t="s">
        <v>172</v>
      </c>
      <c r="C146">
        <v>79</v>
      </c>
      <c r="D146" s="4" t="e">
        <f t="shared" si="4"/>
        <v>#DIV/0!</v>
      </c>
    </row>
    <row r="147" spans="1:4" x14ac:dyDescent="0.2">
      <c r="A147" t="s">
        <v>151</v>
      </c>
      <c r="C147">
        <v>60</v>
      </c>
      <c r="D147" s="4" t="e">
        <f t="shared" si="4"/>
        <v>#DIV/0!</v>
      </c>
    </row>
    <row r="148" spans="1:4" x14ac:dyDescent="0.2">
      <c r="A148" t="s">
        <v>148</v>
      </c>
      <c r="B148">
        <v>4</v>
      </c>
      <c r="C148">
        <v>58</v>
      </c>
      <c r="D148" s="4">
        <f t="shared" si="4"/>
        <v>13.5</v>
      </c>
    </row>
    <row r="149" spans="1:4" x14ac:dyDescent="0.2">
      <c r="A149" t="s">
        <v>174</v>
      </c>
      <c r="C149">
        <v>49</v>
      </c>
      <c r="D149" s="4" t="e">
        <f t="shared" si="4"/>
        <v>#DIV/0!</v>
      </c>
    </row>
    <row r="150" spans="1:4" x14ac:dyDescent="0.2">
      <c r="A150" t="s">
        <v>97</v>
      </c>
      <c r="C150">
        <v>47</v>
      </c>
      <c r="D150" s="4" t="e">
        <f t="shared" si="4"/>
        <v>#DIV/0!</v>
      </c>
    </row>
    <row r="151" spans="1:4" x14ac:dyDescent="0.2">
      <c r="A151" t="s">
        <v>112</v>
      </c>
      <c r="C151">
        <v>44</v>
      </c>
      <c r="D151" s="4" t="e">
        <f t="shared" si="4"/>
        <v>#DIV/0!</v>
      </c>
    </row>
    <row r="152" spans="1:4" x14ac:dyDescent="0.2">
      <c r="A152" t="s">
        <v>32</v>
      </c>
      <c r="B152">
        <v>1</v>
      </c>
      <c r="C152">
        <v>43</v>
      </c>
      <c r="D152" s="4">
        <f t="shared" si="4"/>
        <v>42</v>
      </c>
    </row>
    <row r="153" spans="1:4" x14ac:dyDescent="0.2">
      <c r="A153" t="s">
        <v>67</v>
      </c>
      <c r="C153">
        <v>43</v>
      </c>
      <c r="D153" s="4" t="e">
        <f t="shared" si="4"/>
        <v>#DIV/0!</v>
      </c>
    </row>
    <row r="154" spans="1:4" x14ac:dyDescent="0.2">
      <c r="A154" t="s">
        <v>60</v>
      </c>
      <c r="C154">
        <v>41</v>
      </c>
      <c r="D154" s="4" t="e">
        <f t="shared" si="4"/>
        <v>#DIV/0!</v>
      </c>
    </row>
    <row r="155" spans="1:4" x14ac:dyDescent="0.2">
      <c r="A155" t="s">
        <v>61</v>
      </c>
      <c r="C155">
        <v>40</v>
      </c>
      <c r="D155" s="4" t="e">
        <f t="shared" si="4"/>
        <v>#DIV/0!</v>
      </c>
    </row>
    <row r="156" spans="1:4" x14ac:dyDescent="0.2">
      <c r="A156" t="s">
        <v>44</v>
      </c>
      <c r="C156">
        <v>40</v>
      </c>
      <c r="D156" s="4" t="e">
        <f t="shared" si="4"/>
        <v>#DIV/0!</v>
      </c>
    </row>
    <row r="157" spans="1:4" x14ac:dyDescent="0.2">
      <c r="A157" t="s">
        <v>8</v>
      </c>
      <c r="C157">
        <v>40</v>
      </c>
      <c r="D157" s="4" t="e">
        <f t="shared" si="4"/>
        <v>#DIV/0!</v>
      </c>
    </row>
    <row r="158" spans="1:4" x14ac:dyDescent="0.2">
      <c r="A158" t="s">
        <v>120</v>
      </c>
      <c r="C158">
        <v>39</v>
      </c>
      <c r="D158" s="4" t="e">
        <f t="shared" si="4"/>
        <v>#DIV/0!</v>
      </c>
    </row>
    <row r="159" spans="1:4" x14ac:dyDescent="0.2">
      <c r="A159" t="s">
        <v>26</v>
      </c>
      <c r="C159">
        <v>39</v>
      </c>
      <c r="D159" s="4" t="e">
        <f t="shared" si="4"/>
        <v>#DIV/0!</v>
      </c>
    </row>
    <row r="160" spans="1:4" x14ac:dyDescent="0.2">
      <c r="A160" t="s">
        <v>133</v>
      </c>
      <c r="C160">
        <v>37</v>
      </c>
      <c r="D160" s="4" t="e">
        <f t="shared" si="4"/>
        <v>#DIV/0!</v>
      </c>
    </row>
    <row r="161" spans="1:4" x14ac:dyDescent="0.2">
      <c r="A161" t="s">
        <v>126</v>
      </c>
      <c r="C161">
        <v>36</v>
      </c>
      <c r="D161" s="4" t="e">
        <f t="shared" si="4"/>
        <v>#DIV/0!</v>
      </c>
    </row>
    <row r="162" spans="1:4" x14ac:dyDescent="0.2">
      <c r="A162" t="s">
        <v>10</v>
      </c>
      <c r="C162">
        <v>36</v>
      </c>
      <c r="D162" s="4" t="e">
        <f t="shared" si="4"/>
        <v>#DIV/0!</v>
      </c>
    </row>
    <row r="163" spans="1:4" x14ac:dyDescent="0.2">
      <c r="A163" t="s">
        <v>171</v>
      </c>
      <c r="C163">
        <v>35</v>
      </c>
      <c r="D163" s="4" t="e">
        <f t="shared" ref="D163:D194" si="5">(C163-B163)/B163</f>
        <v>#DIV/0!</v>
      </c>
    </row>
    <row r="164" spans="1:4" x14ac:dyDescent="0.2">
      <c r="A164" t="s">
        <v>59</v>
      </c>
      <c r="C164">
        <v>34</v>
      </c>
      <c r="D164" s="4" t="e">
        <f t="shared" si="5"/>
        <v>#DIV/0!</v>
      </c>
    </row>
    <row r="165" spans="1:4" x14ac:dyDescent="0.2">
      <c r="A165" t="s">
        <v>89</v>
      </c>
      <c r="C165">
        <v>33</v>
      </c>
      <c r="D165" s="4" t="e">
        <f t="shared" si="5"/>
        <v>#DIV/0!</v>
      </c>
    </row>
    <row r="166" spans="1:4" x14ac:dyDescent="0.2">
      <c r="A166" t="s">
        <v>137</v>
      </c>
      <c r="C166">
        <v>32</v>
      </c>
      <c r="D166" s="4" t="e">
        <f t="shared" si="5"/>
        <v>#DIV/0!</v>
      </c>
    </row>
    <row r="167" spans="1:4" x14ac:dyDescent="0.2">
      <c r="A167" t="s">
        <v>42</v>
      </c>
      <c r="C167">
        <v>32</v>
      </c>
      <c r="D167" s="4" t="e">
        <f t="shared" si="5"/>
        <v>#DIV/0!</v>
      </c>
    </row>
    <row r="168" spans="1:4" x14ac:dyDescent="0.2">
      <c r="A168" t="s">
        <v>168</v>
      </c>
      <c r="C168">
        <v>22</v>
      </c>
      <c r="D168" s="4" t="e">
        <f t="shared" si="5"/>
        <v>#DIV/0!</v>
      </c>
    </row>
    <row r="169" spans="1:4" x14ac:dyDescent="0.2">
      <c r="A169" t="s">
        <v>47</v>
      </c>
      <c r="B169">
        <v>1</v>
      </c>
      <c r="C169">
        <v>15</v>
      </c>
      <c r="D169" s="4">
        <f t="shared" si="5"/>
        <v>14</v>
      </c>
    </row>
    <row r="170" spans="1:4" x14ac:dyDescent="0.2">
      <c r="A170" t="s">
        <v>130</v>
      </c>
      <c r="C170">
        <v>1</v>
      </c>
      <c r="D170" s="4" t="e">
        <f t="shared" si="5"/>
        <v>#DIV/0!</v>
      </c>
    </row>
    <row r="171" spans="1:4" x14ac:dyDescent="0.2">
      <c r="A171" t="s">
        <v>113</v>
      </c>
      <c r="C171">
        <v>1</v>
      </c>
      <c r="D171" s="4" t="e">
        <f t="shared" si="5"/>
        <v>#DIV/0!</v>
      </c>
    </row>
  </sheetData>
  <autoFilter ref="A2:D171" xr:uid="{00000000-0009-0000-0000-000001000000}">
    <sortState xmlns:xlrd2="http://schemas.microsoft.com/office/spreadsheetml/2017/richdata2" ref="A3:D171">
      <sortCondition descending="1" ref="C2:C171"/>
    </sortState>
  </autoFilter>
  <mergeCells count="1">
    <mergeCell ref="B1:C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vb_exp_content_consumed</vt:lpstr>
      <vt:lpstr>num_clicks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2020-08-19T14:17:34Z</dcterms:created>
  <dcterms:modified xsi:type="dcterms:W3CDTF">2020-08-19T15:51:31Z</dcterms:modified>
</cp:coreProperties>
</file>